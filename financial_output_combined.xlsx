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or-Project-1\"/>
    </mc:Choice>
  </mc:AlternateContent>
  <xr:revisionPtr revIDLastSave="0" documentId="8_{81215B57-A270-4B49-A677-DF19823CB730}" xr6:coauthVersionLast="47" xr6:coauthVersionMax="47" xr10:uidLastSave="{00000000-0000-0000-0000-000000000000}"/>
  <bookViews>
    <workbookView xWindow="-103" yWindow="-103" windowWidth="22149" windowHeight="13200" tabRatio="847" activeTab="4" xr2:uid="{D1BFE467-D871-4D3B-92B8-E5BF47DD7B36}"/>
  </bookViews>
  <sheets>
    <sheet name="NIRF_Central_University_output" sheetId="10" r:id="rId1"/>
    <sheet name="NIRF_IIIT'S_output" sheetId="4" r:id="rId2"/>
    <sheet name="NIRF_IISER's_output" sheetId="5" r:id="rId3"/>
    <sheet name="NIRF_IIT'S_output" sheetId="7" r:id="rId4"/>
    <sheet name="NIRF_NIT'S_output" sheetId="9" r:id="rId5"/>
  </sheets>
  <definedNames>
    <definedName name="ExternalData_1" localSheetId="0" hidden="1">NIRF_Central_University_output!$A$1:$Y$38</definedName>
    <definedName name="ExternalData_1" localSheetId="1" hidden="1">'NIRF_IIIT''S_output'!$A$1:$Y$16</definedName>
    <definedName name="ExternalData_1" localSheetId="2" hidden="1">'NIRF_IISER''s_output'!$A$1:$Y$8</definedName>
    <definedName name="ExternalData_1" localSheetId="3" hidden="1">'NIRF_IIT''S_output'!$A$1:$Y$25</definedName>
    <definedName name="ExternalData_1" localSheetId="4" hidden="1">'NIRF_NIT''S_output'!$A$1:$Y$30</definedName>
  </definedNames>
  <calcPr calcId="0"/>
</workbook>
</file>

<file path=xl/calcChain.xml><?xml version="1.0" encoding="utf-8"?>
<calcChain xmlns="http://schemas.openxmlformats.org/spreadsheetml/2006/main">
  <c r="Z2" i="9" l="1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AA2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B2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C2" i="9"/>
  <c r="AC3" i="9"/>
  <c r="AC4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D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E2" i="9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Z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AA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B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C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D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E2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Z2" i="5"/>
  <c r="Z3" i="5"/>
  <c r="Z4" i="5"/>
  <c r="Z5" i="5"/>
  <c r="Z6" i="5"/>
  <c r="Z7" i="5"/>
  <c r="Z8" i="5"/>
  <c r="AA2" i="5"/>
  <c r="AA3" i="5"/>
  <c r="AA4" i="5"/>
  <c r="AA5" i="5"/>
  <c r="AA6" i="5"/>
  <c r="AA7" i="5"/>
  <c r="AA8" i="5"/>
  <c r="AB2" i="5"/>
  <c r="AB3" i="5"/>
  <c r="AB4" i="5"/>
  <c r="AB5" i="5"/>
  <c r="AB6" i="5"/>
  <c r="AB7" i="5"/>
  <c r="AB8" i="5"/>
  <c r="AC2" i="5"/>
  <c r="AC3" i="5"/>
  <c r="AC4" i="5"/>
  <c r="AC5" i="5"/>
  <c r="AC6" i="5"/>
  <c r="AC7" i="5"/>
  <c r="AC8" i="5"/>
  <c r="AD2" i="5"/>
  <c r="AD3" i="5"/>
  <c r="AD4" i="5"/>
  <c r="AD5" i="5"/>
  <c r="AD6" i="5"/>
  <c r="AD7" i="5"/>
  <c r="AD8" i="5"/>
  <c r="AE2" i="5"/>
  <c r="AE3" i="5"/>
  <c r="AE4" i="5"/>
  <c r="AE5" i="5"/>
  <c r="AE6" i="5"/>
  <c r="AE7" i="5"/>
  <c r="AE8" i="5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B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E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C2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D2" i="10"/>
  <c r="AD3" i="10"/>
  <c r="AD4" i="10"/>
  <c r="AD5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E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B2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A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Z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1AC99D-E397-46E9-913E-5167F285A67F}" keepAlive="1" name="Query - NIRF_Central_University_output" description="Connection to the 'NIRF_Central_University_output' query in the workbook." type="5" refreshedVersion="8" background="1" saveData="1">
    <dbPr connection="Provider=Microsoft.Mashup.OleDb.1;Data Source=$Workbook$;Location=NIRF_Central_University_output;Extended Properties=&quot;&quot;" command="SELECT * FROM [NIRF_Central_University_output]"/>
  </connection>
  <connection id="2" xr16:uid="{281E94B6-FA68-4A87-A4BC-B235D2AB1C93}" keepAlive="1" name="Query - NIRF_IIIT'S_output" description="Connection to the 'NIRF_IIIT'S_output' query in the workbook." type="5" refreshedVersion="8" background="1" saveData="1">
    <dbPr connection="Provider=Microsoft.Mashup.OleDb.1;Data Source=$Workbook$;Location=&quot;NIRF_IIIT'S_output&quot;;Extended Properties=&quot;&quot;" command="SELECT * FROM [NIRF_IIIT'S_output]"/>
  </connection>
  <connection id="3" xr16:uid="{5C146846-97E2-4C29-9C91-D2E6B7F09308}" keepAlive="1" name="Query - NIRF_IISER's_output" description="Connection to the 'NIRF_IISER's_output' query in the workbook." type="5" refreshedVersion="8" background="1" saveData="1">
    <dbPr connection="Provider=Microsoft.Mashup.OleDb.1;Data Source=$Workbook$;Location=&quot;NIRF_IISER's_output&quot;;Extended Properties=&quot;&quot;" command="SELECT * FROM [NIRF_IISER's_output]"/>
  </connection>
  <connection id="4" xr16:uid="{94386CEE-6123-483C-9D1C-BBECC3C4815E}" keepAlive="1" name="Query - NIRF_IIT'S_output" description="Connection to the 'NIRF_IIT'S_output' query in the workbook." type="5" refreshedVersion="8" background="1" saveData="1">
    <dbPr connection="Provider=Microsoft.Mashup.OleDb.1;Data Source=$Workbook$;Location=&quot;NIRF_IIT'S_output&quot;;Extended Properties=&quot;&quot;" command="SELECT * FROM [NIRF_IIT'S_output]"/>
  </connection>
  <connection id="5" xr16:uid="{378F743B-47C7-47BA-B7B6-5ACAAF2AA631}" keepAlive="1" name="Query - NIRF_NIT'S_output" description="Connection to the 'NIRF_NIT'S_output' query in the workbook." type="5" refreshedVersion="8" background="1" saveData="1">
    <dbPr connection="Provider=Microsoft.Mashup.OleDb.1;Data Source=$Workbook$;Location=&quot;NIRF_NIT'S_output&quot;;Extended Properties=&quot;&quot;" command="SELECT * FROM [NIRF_NIT'S_output]"/>
  </connection>
</connections>
</file>

<file path=xl/sharedStrings.xml><?xml version="1.0" encoding="utf-8"?>
<sst xmlns="http://schemas.openxmlformats.org/spreadsheetml/2006/main" count="267" uniqueCount="143">
  <si>
    <t>College Name</t>
  </si>
  <si>
    <t>Library (2023-24)</t>
  </si>
  <si>
    <t>New Equipment for Laboratories (2023-24)</t>
  </si>
  <si>
    <t>Engineering Workshops (2023-24)</t>
  </si>
  <si>
    <t>Studios (2023-24)</t>
  </si>
  <si>
    <t>Other expenditure on creation of Capital Assets (2023-24)</t>
  </si>
  <si>
    <t>Library (2022-23)</t>
  </si>
  <si>
    <t>New Equipment for Laboratories (2022-23)</t>
  </si>
  <si>
    <t>Engineering Workshops (2022-23)</t>
  </si>
  <si>
    <t>Studios (2022-23)</t>
  </si>
  <si>
    <t>Other expenditure on creation of Capital Assets (2022-23)</t>
  </si>
  <si>
    <t>Library (2021-22)</t>
  </si>
  <si>
    <t>New Equipment for Laboratories (2021-22)</t>
  </si>
  <si>
    <t>Engineering Workshops (2021-22)</t>
  </si>
  <si>
    <t>Studios (2021-22)</t>
  </si>
  <si>
    <t>Other expenditure on creation of Capital Assets (2021-22)</t>
  </si>
  <si>
    <t>Salaries (2023-24)</t>
  </si>
  <si>
    <t>Maintenance of Academic Infrastructure or consumables and other running expenditures (2023-24)</t>
  </si>
  <si>
    <t>Seminars/Conferences/Workshops (2023-24)</t>
  </si>
  <si>
    <t>Salaries (2022-23)</t>
  </si>
  <si>
    <t>Maintenance of Academic Infrastructure or consumables and other running expenditures (2022-23)</t>
  </si>
  <si>
    <t>Seminars/Conferences/Workshops (2022-23)</t>
  </si>
  <si>
    <t>Salaries (2021-22)</t>
  </si>
  <si>
    <t>Maintenance of Academic Infrastructure or consumables and other running expenditures (2021-22)</t>
  </si>
  <si>
    <t>Seminars/Conferences/Workshops (2021-22)</t>
  </si>
  <si>
    <t>Aligarh Muslim University Nirf Overall 2025</t>
  </si>
  <si>
    <t>Assam University Nirf Overall 2025</t>
  </si>
  <si>
    <t>Babasaheb Bhimrao Ambedkar University Lucknow Nirf Overall 2025</t>
  </si>
  <si>
    <t>Banaras Hindu University Nirf Overall 2025</t>
  </si>
  <si>
    <t>Cu Of Andhra Pradesh Nirf Overall 2025</t>
  </si>
  <si>
    <t>Cu Of Gujarat Nirf Overall 2025</t>
  </si>
  <si>
    <t>Cu Of Haryana Nirf Overall 2025</t>
  </si>
  <si>
    <t>Cu Of Himachal Pradesh Nirf Overall 2025</t>
  </si>
  <si>
    <t>Cu Of Jammu Nirf Overall 2025</t>
  </si>
  <si>
    <t>Cu Of Jharkhand Nirf Overall 2025</t>
  </si>
  <si>
    <t>Cu Of Karnataka Nirf Overall 2025</t>
  </si>
  <si>
    <t>Cu Of Kashmir Nirf Overall 2025</t>
  </si>
  <si>
    <t>Cu Of Kerala Nirf Overall 2025</t>
  </si>
  <si>
    <t>Cu Of Odisha Nirf Overall 2025</t>
  </si>
  <si>
    <t>Cu Of Punjab Nirf Overall 2025</t>
  </si>
  <si>
    <t>Cu Of Rajasthan Nirf Overall 2025</t>
  </si>
  <si>
    <t>Cu Of Tamilnadu Nirf Overall 2025</t>
  </si>
  <si>
    <t>Central University Of South Bihar Nirf Overall 2025</t>
  </si>
  <si>
    <t>Dr. Harisingh Gour Vishwavidyalaya Nirf Overall 2025</t>
  </si>
  <si>
    <t>Hemwati Nandan Bahuguna Garhwal University Nirf Overall 2025</t>
  </si>
  <si>
    <t>Indira Gandhi National Open University Nirf Overall 2025</t>
  </si>
  <si>
    <t>Indira Gandhi National Tribal University Nirf Overall 2025</t>
  </si>
  <si>
    <t>Jamia Millia Islamia Nirf Overal 2025</t>
  </si>
  <si>
    <t>Jawaharlal Nehru University Nirf Overall 2025</t>
  </si>
  <si>
    <t>Manipur University Nirf Overall 2025</t>
  </si>
  <si>
    <t>Mizoram University Nirf Overall 2025</t>
  </si>
  <si>
    <t>Nagaland University Nirf Overall 2025</t>
  </si>
  <si>
    <t>North Eastern Hill University Nirf Overall 2025</t>
  </si>
  <si>
    <t>Pondicherry University Nirf Overall 2025</t>
  </si>
  <si>
    <t>Rajiv Gandhi University Nirf Overall 2025</t>
  </si>
  <si>
    <t>Sikkim University Nirf Overall 2025</t>
  </si>
  <si>
    <t>Tezpur University Nirf Overall 2025</t>
  </si>
  <si>
    <t>Tripura University Nirf Overall 2025</t>
  </si>
  <si>
    <t>University Of Allahabad Nirf Overall 2025</t>
  </si>
  <si>
    <t>University Of Delhi Nirf Overall 2025</t>
  </si>
  <si>
    <t>University Of Hyderabad Nirf Overall 2025</t>
  </si>
  <si>
    <t>Vishva Bharti Nirf Overall 2025</t>
  </si>
  <si>
    <t>Iiit Design &amp; Manufacturing, Jabalpur Nirf Overall 2025</t>
  </si>
  <si>
    <t>Iiit Pune Engineering 2025</t>
  </si>
  <si>
    <t>Iiit, Design &amp; Manufacturing, Kurnool Nirf Overall 2025</t>
  </si>
  <si>
    <t>Iiit, Guwahati Nirf Engineering 2025</t>
  </si>
  <si>
    <t>Iiit, Kalyani Nirf Engineering 2025</t>
  </si>
  <si>
    <t>Iiit, Kota Nirf Overall 2025</t>
  </si>
  <si>
    <t>Iiit, Kancheepuram Engineering Nirf 2025</t>
  </si>
  <si>
    <t>Iiit, Kottayam Nirf Overall 2025</t>
  </si>
  <si>
    <t>Iiit, Nagpur Nirf Engineering 2025</t>
  </si>
  <si>
    <t>Iiit, Ranchi Overall 2025</t>
  </si>
  <si>
    <t>Iiit, Surat Nirf Overall 2025</t>
  </si>
  <si>
    <t>Iiit, Una Nirf Engineering 2025</t>
  </si>
  <si>
    <t>Iiit, Vadodara Nirf Engineering 2025</t>
  </si>
  <si>
    <t>Iiit,Allahabad Nirf Engineering 2025</t>
  </si>
  <si>
    <t>Iiit,Dharwad Nirf Overall 2025</t>
  </si>
  <si>
    <t>Iiser Berhampur Nirf Overall 2025</t>
  </si>
  <si>
    <t>Iiser Bhopal Nirf Overall 2025</t>
  </si>
  <si>
    <t>Iiser Kolkata Nirf Overall 2025</t>
  </si>
  <si>
    <t>Iiser Mohali Nirf Overall 2025</t>
  </si>
  <si>
    <t>Iiser Pune Nirf Overall 2025</t>
  </si>
  <si>
    <t>Iiser Thiruvananthapuram Nirf Overall 2025</t>
  </si>
  <si>
    <t>Iiser Tirupati Nirf Overall 2025</t>
  </si>
  <si>
    <t>Iit Bhubaneswar Nirf Engineering 2025</t>
  </si>
  <si>
    <t>Iit Bhilai Nirf Overall 2025</t>
  </si>
  <si>
    <t>Iit Bombay Nirf Engineering 2025</t>
  </si>
  <si>
    <t>Iit Chennai Nirf Overall 2025</t>
  </si>
  <si>
    <t>Iit Delhi Nirf Engineering 2025</t>
  </si>
  <si>
    <t>Iit Dharwad Nirf Engineering 2025</t>
  </si>
  <si>
    <t>Iit Gandhinagar Nirf Engineering 2025</t>
  </si>
  <si>
    <t>Iit Goa Nirf Engineering 2025</t>
  </si>
  <si>
    <t>Iit Guwahati Nirf Engineering 2025</t>
  </si>
  <si>
    <t>Iit Hyderabad Nirf Engineering 2025</t>
  </si>
  <si>
    <t>Iit Indore Nirf Engineering 2025</t>
  </si>
  <si>
    <t>Iit Jammu Nirf Engineering 2025</t>
  </si>
  <si>
    <t>Iit Jodhpur Nirf Engineering 2025</t>
  </si>
  <si>
    <t>Iit Kanpur Nirf Engineering 2025</t>
  </si>
  <si>
    <t>Iit Kharagpur Nirf Engineering 2025</t>
  </si>
  <si>
    <t>Iit Mandi Nirf Engineering 2025</t>
  </si>
  <si>
    <t>Iit Palakkad Nirf Overall 2025</t>
  </si>
  <si>
    <t>Iit Patna Nirf Engineering 2025</t>
  </si>
  <si>
    <t>Iit Roorkee Nirf Engineering 2025</t>
  </si>
  <si>
    <t>Iit Ropar Nirf Engineering 2025</t>
  </si>
  <si>
    <t>Iit Tirupati Nirf Engineering 2025</t>
  </si>
  <si>
    <t>Iit Varanasi Nirf Engineering 2025</t>
  </si>
  <si>
    <t>Indian Institute Of Science Banglore Nirf Overall 2025</t>
  </si>
  <si>
    <t>Indian Institute Of Technology Dhanbad Nirf Engineering 2025</t>
  </si>
  <si>
    <t>Dr. B.R. Ambedkar Nit Jalandhar Nirf Engineering 2025</t>
  </si>
  <si>
    <t>Malaviya Nit Nirf Overall 2025</t>
  </si>
  <si>
    <t>Maulana Azad Nit Nirf Overall 2025</t>
  </si>
  <si>
    <t>Motilal Nehru Nit Nirf Overall 2025</t>
  </si>
  <si>
    <t>Nit Agartala Nirf Engineering 2025</t>
  </si>
  <si>
    <t>Nit Andhra Pradesh Nirf Overall 2025</t>
  </si>
  <si>
    <t>Nit Arunachal Pradesh Nirf Overall 2025</t>
  </si>
  <si>
    <t>Nit Calicut Nirf Overall 2025</t>
  </si>
  <si>
    <t>Nit Delhi Nirf Engineering 2025</t>
  </si>
  <si>
    <t>Nit Durgapur Nirf Overall 2025</t>
  </si>
  <si>
    <t>Nit Goa Nirf Overall 2025</t>
  </si>
  <si>
    <t>Nit Hamirpur Nirf Overall 2025</t>
  </si>
  <si>
    <t>Nit Jamshedpur Nirf Engineering 2025</t>
  </si>
  <si>
    <t>Nit Kurukshetra Nirf Overall 2025</t>
  </si>
  <si>
    <t>Nit Manipur Nirf Engineering 2025</t>
  </si>
  <si>
    <t>Nit Meghalaya Nirf Overall 2025</t>
  </si>
  <si>
    <t>Nit Mizoram Nirf Overall 2025</t>
  </si>
  <si>
    <t>Nit Nagaland Nirf Engineering 2025</t>
  </si>
  <si>
    <t>Nit Patna Nirf Overall 2025</t>
  </si>
  <si>
    <t>Nit Puducherry Nirf Overall 2025</t>
  </si>
  <si>
    <t>Nit Raipur Nirf Overall 2025</t>
  </si>
  <si>
    <t>Nit Rourkela Nirf Overall 2025</t>
  </si>
  <si>
    <t>Nit Silchar Nirf Overall 2025</t>
  </si>
  <si>
    <t>Nit Srinagar Nirf Overall 2025</t>
  </si>
  <si>
    <t>Nit Surathkal Nirf Overall 2025</t>
  </si>
  <si>
    <t>Nit Uttarakhand Nirf Overall 2025</t>
  </si>
  <si>
    <t>Nit Warangal Nirf Engineering 2025</t>
  </si>
  <si>
    <t>Sardar Vallabhbhai Nit Nirf Engineering 2025</t>
  </si>
  <si>
    <t>Visvesvaraya Nit Nirf Overall 2025</t>
  </si>
  <si>
    <t>Annual Operational Expenditure (2021-22)</t>
  </si>
  <si>
    <t>Annual Operational Expenditure (2022-23)</t>
  </si>
  <si>
    <t>Annual Operational Expenditure (2023-24)</t>
  </si>
  <si>
    <t>Annual Capital Expenditure (2021-22)</t>
  </si>
  <si>
    <t>Annual Capital Expenditure (2022-23)</t>
  </si>
  <si>
    <t>Annual Capital Expenditure (2023-24)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</si>
</sst>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4E58A3-4A24-4C29-8A60-5D0C58710B5B}" autoFormatId="16" applyNumberFormats="0" applyBorderFormats="0" applyFontFormats="0" applyPatternFormats="0" applyAlignmentFormats="0" applyWidthHeightFormats="0">
  <queryTableRefresh nextId="32" unboundColumnsRight="6">
    <queryTableFields count="31">
      <queryTableField id="1" name="College Name" tableColumnId="1"/>
      <queryTableField id="2" name="Library (2023-24)" tableColumnId="2"/>
      <queryTableField id="3" name="New Equipment for Laboratories (2023-24)" tableColumnId="3"/>
      <queryTableField id="4" name="Engineering Workshops (2023-24)" tableColumnId="4"/>
      <queryTableField id="5" name="Studios (2023-24)" tableColumnId="5"/>
      <queryTableField id="6" name="Other expenditure on creation of Capital Assets (2023-24)" tableColumnId="6"/>
      <queryTableField id="7" name="Library (2022-23)" tableColumnId="7"/>
      <queryTableField id="8" name="New Equipment for Laboratories (2022-23)" tableColumnId="8"/>
      <queryTableField id="9" name="Engineering Workshops (2022-23)" tableColumnId="9"/>
      <queryTableField id="10" name="Studios (2022-23)" tableColumnId="10"/>
      <queryTableField id="11" name="Other expenditure on creation of Capital Assets (2022-23)" tableColumnId="11"/>
      <queryTableField id="12" name="Library (2021-22)" tableColumnId="12"/>
      <queryTableField id="13" name="New Equipment for Laboratories (2021-22)" tableColumnId="13"/>
      <queryTableField id="14" name="Engineering Workshops (2021-22)" tableColumnId="14"/>
      <queryTableField id="15" name="Studios (2021-22)" tableColumnId="15"/>
      <queryTableField id="16" name="Other expenditure on creation of Capital Assets (2021-22)" tableColumnId="16"/>
      <queryTableField id="17" name="Salaries (2023-24)" tableColumnId="17"/>
      <queryTableField id="18" name="Maintenance of Academic Infrastructure or consumables and other running expenditures (2023-24)" tableColumnId="18"/>
      <queryTableField id="19" name="Seminars/Conferences/Workshops (2023-24)" tableColumnId="19"/>
      <queryTableField id="20" name="Salaries (2022-23)" tableColumnId="20"/>
      <queryTableField id="21" name="Maintenance of Academic Infrastructure or consumables and other running expenditures (2022-23)" tableColumnId="21"/>
      <queryTableField id="22" name="Seminars/Conferences/Workshops (2022-23)" tableColumnId="22"/>
      <queryTableField id="23" name="Salaries (2021-22)" tableColumnId="23"/>
      <queryTableField id="24" name="Maintenance of Academic Infrastructure or consumables and other running expenditures (2021-22)" tableColumnId="24"/>
      <queryTableField id="25" name="Seminars/Conferences/Workshops (2021-22)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1E9E13-1B56-4D39-B145-EE84C7768D06}" autoFormatId="16" applyNumberFormats="0" applyBorderFormats="0" applyFontFormats="0" applyPatternFormats="0" applyAlignmentFormats="0" applyWidthHeightFormats="0">
  <queryTableRefresh nextId="32" unboundColumnsRight="6">
    <queryTableFields count="31">
      <queryTableField id="1" name="College Name" tableColumnId="1"/>
      <queryTableField id="2" name="Library (2023-24)" tableColumnId="2"/>
      <queryTableField id="3" name="New Equipment for Laboratories (2023-24)" tableColumnId="3"/>
      <queryTableField id="4" name="Engineering Workshops (2023-24)" tableColumnId="4"/>
      <queryTableField id="5" name="Studios (2023-24)" tableColumnId="5"/>
      <queryTableField id="6" name="Other expenditure on creation of Capital Assets (2023-24)" tableColumnId="6"/>
      <queryTableField id="7" name="Library (2022-23)" tableColumnId="7"/>
      <queryTableField id="8" name="New Equipment for Laboratories (2022-23)" tableColumnId="8"/>
      <queryTableField id="9" name="Engineering Workshops (2022-23)" tableColumnId="9"/>
      <queryTableField id="10" name="Studios (2022-23)" tableColumnId="10"/>
      <queryTableField id="11" name="Other expenditure on creation of Capital Assets (2022-23)" tableColumnId="11"/>
      <queryTableField id="12" name="Library (2021-22)" tableColumnId="12"/>
      <queryTableField id="13" name="New Equipment for Laboratories (2021-22)" tableColumnId="13"/>
      <queryTableField id="14" name="Engineering Workshops (2021-22)" tableColumnId="14"/>
      <queryTableField id="15" name="Studios (2021-22)" tableColumnId="15"/>
      <queryTableField id="16" name="Other expenditure on creation of Capital Assets (2021-22)" tableColumnId="16"/>
      <queryTableField id="17" name="Salaries (2023-24)" tableColumnId="17"/>
      <queryTableField id="18" name="Maintenance of Academic Infrastructure or consumables and other running expenditures (2023-24)" tableColumnId="18"/>
      <queryTableField id="19" name="Seminars/Conferences/Workshops (2023-24)" tableColumnId="19"/>
      <queryTableField id="20" name="Salaries (2022-23)" tableColumnId="20"/>
      <queryTableField id="21" name="Maintenance of Academic Infrastructure or consumables and other running expenditures (2022-23)" tableColumnId="21"/>
      <queryTableField id="22" name="Seminars/Conferences/Workshops (2022-23)" tableColumnId="22"/>
      <queryTableField id="23" name="Salaries (2021-22)" tableColumnId="23"/>
      <queryTableField id="24" name="Maintenance of Academic Infrastructure or consumables and other running expenditures (2021-22)" tableColumnId="24"/>
      <queryTableField id="25" name="Seminars/Conferences/Workshops (2021-22)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684B6CE-59FA-4C0F-9F08-307603DADFA6}" autoFormatId="16" applyNumberFormats="0" applyBorderFormats="0" applyFontFormats="0" applyPatternFormats="0" applyAlignmentFormats="0" applyWidthHeightFormats="0">
  <queryTableRefresh nextId="32" unboundColumnsRight="6">
    <queryTableFields count="31">
      <queryTableField id="1" name="College Name" tableColumnId="1"/>
      <queryTableField id="2" name="Library (2023-24)" tableColumnId="2"/>
      <queryTableField id="3" name="New Equipment for Laboratories (2023-24)" tableColumnId="3"/>
      <queryTableField id="4" name="Engineering Workshops (2023-24)" tableColumnId="4"/>
      <queryTableField id="5" name="Studios (2023-24)" tableColumnId="5"/>
      <queryTableField id="6" name="Other expenditure on creation of Capital Assets (2023-24)" tableColumnId="6"/>
      <queryTableField id="7" name="Library (2022-23)" tableColumnId="7"/>
      <queryTableField id="8" name="New Equipment for Laboratories (2022-23)" tableColumnId="8"/>
      <queryTableField id="9" name="Engineering Workshops (2022-23)" tableColumnId="9"/>
      <queryTableField id="10" name="Studios (2022-23)" tableColumnId="10"/>
      <queryTableField id="11" name="Other expenditure on creation of Capital Assets (2022-23)" tableColumnId="11"/>
      <queryTableField id="12" name="Library (2021-22)" tableColumnId="12"/>
      <queryTableField id="13" name="New Equipment for Laboratories (2021-22)" tableColumnId="13"/>
      <queryTableField id="14" name="Engineering Workshops (2021-22)" tableColumnId="14"/>
      <queryTableField id="15" name="Studios (2021-22)" tableColumnId="15"/>
      <queryTableField id="16" name="Other expenditure on creation of Capital Assets (2021-22)" tableColumnId="16"/>
      <queryTableField id="17" name="Salaries (2023-24)" tableColumnId="17"/>
      <queryTableField id="18" name="Maintenance of Academic Infrastructure or consumables and other running expenditures (2023-24)" tableColumnId="18"/>
      <queryTableField id="19" name="Seminars/Conferences/Workshops (2023-24)" tableColumnId="19"/>
      <queryTableField id="20" name="Salaries (2022-23)" tableColumnId="20"/>
      <queryTableField id="21" name="Maintenance of Academic Infrastructure or consumables and other running expenditures (2022-23)" tableColumnId="21"/>
      <queryTableField id="22" name="Seminars/Conferences/Workshops (2022-23)" tableColumnId="22"/>
      <queryTableField id="23" name="Salaries (2021-22)" tableColumnId="23"/>
      <queryTableField id="24" name="Maintenance of Academic Infrastructure or consumables and other running expenditures (2021-22)" tableColumnId="24"/>
      <queryTableField id="25" name="Seminars/Conferences/Workshops (2021-22)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2936ED9-A1D1-4F93-B4F7-BA431ED85A71}" autoFormatId="16" applyNumberFormats="0" applyBorderFormats="0" applyFontFormats="0" applyPatternFormats="0" applyAlignmentFormats="0" applyWidthHeightFormats="0">
  <queryTableRefresh nextId="32" unboundColumnsRight="6">
    <queryTableFields count="31">
      <queryTableField id="1" name="College Name" tableColumnId="1"/>
      <queryTableField id="2" name="Library (2023-24)" tableColumnId="2"/>
      <queryTableField id="3" name="New Equipment for Laboratories (2023-24)" tableColumnId="3"/>
      <queryTableField id="4" name="Engineering Workshops (2023-24)" tableColumnId="4"/>
      <queryTableField id="5" name="Studios (2023-24)" tableColumnId="5"/>
      <queryTableField id="6" name="Other expenditure on creation of Capital Assets (2023-24)" tableColumnId="6"/>
      <queryTableField id="7" name="Library (2022-23)" tableColumnId="7"/>
      <queryTableField id="8" name="New Equipment for Laboratories (2022-23)" tableColumnId="8"/>
      <queryTableField id="9" name="Engineering Workshops (2022-23)" tableColumnId="9"/>
      <queryTableField id="10" name="Studios (2022-23)" tableColumnId="10"/>
      <queryTableField id="11" name="Other expenditure on creation of Capital Assets (2022-23)" tableColumnId="11"/>
      <queryTableField id="12" name="Library (2021-22)" tableColumnId="12"/>
      <queryTableField id="13" name="New Equipment for Laboratories (2021-22)" tableColumnId="13"/>
      <queryTableField id="14" name="Engineering Workshops (2021-22)" tableColumnId="14"/>
      <queryTableField id="15" name="Studios (2021-22)" tableColumnId="15"/>
      <queryTableField id="16" name="Other expenditure on creation of Capital Assets (2021-22)" tableColumnId="16"/>
      <queryTableField id="17" name="Salaries (2023-24)" tableColumnId="17"/>
      <queryTableField id="18" name="Maintenance of Academic Infrastructure or consumables and other running expenditures (2023-24)" tableColumnId="18"/>
      <queryTableField id="19" name="Seminars/Conferences/Workshops (2023-24)" tableColumnId="19"/>
      <queryTableField id="20" name="Salaries (2022-23)" tableColumnId="20"/>
      <queryTableField id="21" name="Maintenance of Academic Infrastructure or consumables and other running expenditures (2022-23)" tableColumnId="21"/>
      <queryTableField id="22" name="Seminars/Conferences/Workshops (2022-23)" tableColumnId="22"/>
      <queryTableField id="23" name="Salaries (2021-22)" tableColumnId="23"/>
      <queryTableField id="24" name="Maintenance of Academic Infrastructure or consumables and other running expenditures (2021-22)" tableColumnId="24"/>
      <queryTableField id="25" name="Seminars/Conferences/Workshops (2021-22)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85BD0BF-EC3B-406A-971C-66256ED9C255}" autoFormatId="16" applyNumberFormats="0" applyBorderFormats="0" applyFontFormats="0" applyPatternFormats="0" applyAlignmentFormats="0" applyWidthHeightFormats="0">
  <queryTableRefresh nextId="32" unboundColumnsRight="6">
    <queryTableFields count="31">
      <queryTableField id="1" name="College Name" tableColumnId="1"/>
      <queryTableField id="2" name="Library (2023-24)" tableColumnId="2"/>
      <queryTableField id="3" name="New Equipment for Laboratories (2023-24)" tableColumnId="3"/>
      <queryTableField id="4" name="Engineering Workshops (2023-24)" tableColumnId="4"/>
      <queryTableField id="5" name="Studios (2023-24)" tableColumnId="5"/>
      <queryTableField id="6" name="Other expenditure on creation of Capital Assets (2023-24)" tableColumnId="6"/>
      <queryTableField id="7" name="Library (2022-23)" tableColumnId="7"/>
      <queryTableField id="8" name="New Equipment for Laboratories (2022-23)" tableColumnId="8"/>
      <queryTableField id="9" name="Engineering Workshops (2022-23)" tableColumnId="9"/>
      <queryTableField id="10" name="Studios (2022-23)" tableColumnId="10"/>
      <queryTableField id="11" name="Other expenditure on creation of Capital Assets (2022-23)" tableColumnId="11"/>
      <queryTableField id="12" name="Library (2021-22)" tableColumnId="12"/>
      <queryTableField id="13" name="New Equipment for Laboratories (2021-22)" tableColumnId="13"/>
      <queryTableField id="14" name="Engineering Workshops (2021-22)" tableColumnId="14"/>
      <queryTableField id="15" name="Studios (2021-22)" tableColumnId="15"/>
      <queryTableField id="16" name="Other expenditure on creation of Capital Assets (2021-22)" tableColumnId="16"/>
      <queryTableField id="17" name="Salaries (2023-24)" tableColumnId="17"/>
      <queryTableField id="18" name="Maintenance of Academic Infrastructure or consumables and other running expenditures (2023-24)" tableColumnId="18"/>
      <queryTableField id="19" name="Seminars/Conferences/Workshops (2023-24)" tableColumnId="19"/>
      <queryTableField id="20" name="Salaries (2022-23)" tableColumnId="20"/>
      <queryTableField id="21" name="Maintenance of Academic Infrastructure or consumables and other running expenditures (2022-23)" tableColumnId="21"/>
      <queryTableField id="22" name="Seminars/Conferences/Workshops (2022-23)" tableColumnId="22"/>
      <queryTableField id="23" name="Salaries (2021-22)" tableColumnId="23"/>
      <queryTableField id="24" name="Maintenance of Academic Infrastructure or consumables and other running expenditures (2021-22)" tableColumnId="24"/>
      <queryTableField id="25" name="Seminars/Conferences/Workshops (2021-22)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938F37-31C5-429C-980F-B5F2F34DE33B}" name="NIRF_Central_University_output" displayName="NIRF_Central_University_output" ref="A1:AE38" tableType="queryTable" totalsRowShown="0">
  <autoFilter ref="A1:AE38" xr:uid="{7B938F37-31C5-429C-980F-B5F2F34DE33B}"/>
  <tableColumns count="31">
    <tableColumn id="1" xr3:uid="{6112F2C0-90B5-4263-849B-1A097AB1CB81}" uniqueName="1" name="College Name" queryTableFieldId="1" dataDxfId="31"/>
    <tableColumn id="2" xr3:uid="{510C6009-5AA2-4BAF-9109-C7C30B471235}" uniqueName="2" name="Library (2023-24)" queryTableFieldId="2"/>
    <tableColumn id="3" xr3:uid="{7FD50A59-5DBE-4C83-868F-098B7F63405C}" uniqueName="3" name="New Equipment for Laboratories (2023-24)" queryTableFieldId="3"/>
    <tableColumn id="4" xr3:uid="{C666042B-4BC6-4E9F-865A-37F56978FC7A}" uniqueName="4" name="Engineering Workshops (2023-24)" queryTableFieldId="4"/>
    <tableColumn id="5" xr3:uid="{1D5C8287-0E7B-4206-A1ED-DBA0D475C5F7}" uniqueName="5" name="Studios (2023-24)" queryTableFieldId="5"/>
    <tableColumn id="6" xr3:uid="{DE52C6C7-3A35-4264-930A-41F26F247CAC}" uniqueName="6" name="Other expenditure on creation of Capital Assets (2023-24)" queryTableFieldId="6"/>
    <tableColumn id="7" xr3:uid="{80567B29-F9EF-439D-80C8-929CAC36A2DD}" uniqueName="7" name="Library (2022-23)" queryTableFieldId="7"/>
    <tableColumn id="8" xr3:uid="{AFFCA513-465D-42C1-A6E1-63BB357B6326}" uniqueName="8" name="New Equipment for Laboratories (2022-23)" queryTableFieldId="8"/>
    <tableColumn id="9" xr3:uid="{4B3FBE3A-C2C5-4155-8C9F-8F0EC10474F2}" uniqueName="9" name="Engineering Workshops (2022-23)" queryTableFieldId="9"/>
    <tableColumn id="10" xr3:uid="{852CB6AF-3861-4CE3-B97A-DBFC2F1CD8F1}" uniqueName="10" name="Studios (2022-23)" queryTableFieldId="10"/>
    <tableColumn id="11" xr3:uid="{E4CBD9D9-E74B-48E0-A274-108F0B9ADBEB}" uniqueName="11" name="Other expenditure on creation of Capital Assets (2022-23)" queryTableFieldId="11"/>
    <tableColumn id="12" xr3:uid="{2A30270A-A460-4861-8198-DE8923DA358A}" uniqueName="12" name="Library (2021-22)" queryTableFieldId="12"/>
    <tableColumn id="13" xr3:uid="{CB781525-D8FA-4837-B0C6-F7A2B0E508DB}" uniqueName="13" name="New Equipment for Laboratories (2021-22)" queryTableFieldId="13"/>
    <tableColumn id="14" xr3:uid="{6BF2D3AD-5FCA-4D07-B67F-6462C8ED278C}" uniqueName="14" name="Engineering Workshops (2021-22)" queryTableFieldId="14"/>
    <tableColumn id="15" xr3:uid="{69E00AAE-045A-42EE-BD1A-00F2A40076D2}" uniqueName="15" name="Studios (2021-22)" queryTableFieldId="15"/>
    <tableColumn id="16" xr3:uid="{454649FD-E005-4CD7-9D17-D225FA90AD81}" uniqueName="16" name="Other expenditure on creation of Capital Assets (2021-22)" queryTableFieldId="16"/>
    <tableColumn id="17" xr3:uid="{3C61F4E5-B845-4D43-9672-AE2CEA1192B2}" uniqueName="17" name="Salaries (2023-24)" queryTableFieldId="17"/>
    <tableColumn id="18" xr3:uid="{E30017F2-BE1B-46BC-9778-C08147FC1A50}" uniqueName="18" name="Maintenance of Academic Infrastructure or consumables and other running expenditures (2023-24)" queryTableFieldId="18"/>
    <tableColumn id="19" xr3:uid="{FCB7E26F-936D-4CDC-906C-279B02EB3F25}" uniqueName="19" name="Seminars/Conferences/Workshops (2023-24)" queryTableFieldId="19"/>
    <tableColumn id="20" xr3:uid="{30E8CF51-8579-4D72-B717-9D52D4EF36B3}" uniqueName="20" name="Salaries (2022-23)" queryTableFieldId="20"/>
    <tableColumn id="21" xr3:uid="{D186B179-2F69-4041-9A97-7FF58B0F719A}" uniqueName="21" name="Maintenance of Academic Infrastructure or consumables and other running expenditures (2022-23)" queryTableFieldId="21"/>
    <tableColumn id="22" xr3:uid="{43667BD4-6324-4434-A706-0390D46BDF82}" uniqueName="22" name="Seminars/Conferences/Workshops (2022-23)" queryTableFieldId="22"/>
    <tableColumn id="23" xr3:uid="{75C657DE-0603-4FBF-AC04-270F8F789B20}" uniqueName="23" name="Salaries (2021-22)" queryTableFieldId="23"/>
    <tableColumn id="24" xr3:uid="{E6EEEC24-8BBE-497E-8AEC-56C5519929AF}" uniqueName="24" name="Maintenance of Academic Infrastructure or consumables and other running expenditures (2021-22)" queryTableFieldId="24"/>
    <tableColumn id="25" xr3:uid="{D5D3571C-42FB-47ED-BC38-06A56D46C099}" uniqueName="25" name="Seminars/Conferences/Workshops (2021-22)" queryTableFieldId="25"/>
    <tableColumn id="26" xr3:uid="{2C6CAB8E-8FFC-48BD-944B-34F78B2E24CE}" uniqueName="26" name="Annual Operational Expenditure (2021-22)" queryTableFieldId="26" dataDxfId="30">
      <calculatedColumnFormula>SUM($W2,$X2,$Y2)</calculatedColumnFormula>
    </tableColumn>
    <tableColumn id="27" xr3:uid="{B5F2A356-DD7E-4B51-A1C3-1325EF5F35F5}" uniqueName="27" name="Annual Operational Expenditure (2022-23)" queryTableFieldId="27" dataDxfId="29">
      <calculatedColumnFormula>SUM($T2,$U2,$V2)</calculatedColumnFormula>
    </tableColumn>
    <tableColumn id="28" xr3:uid="{14F6BB01-ECBF-4628-85B4-4EAA6CE1D2A3}" uniqueName="28" name="Annual Operational Expenditure (2023-24)" queryTableFieldId="28" dataDxfId="28">
      <calculatedColumnFormula>SUM($Q2,$R2,$S2)</calculatedColumnFormula>
    </tableColumn>
    <tableColumn id="29" xr3:uid="{8B342D05-9C24-40CE-810A-A1FF2C5B7944}" uniqueName="29" name="Annual Capital Expenditure (2021-22)" queryTableFieldId="29" dataDxfId="25">
      <calculatedColumnFormula>SUM($L2,$M2,$N2, $O2, $P2)</calculatedColumnFormula>
    </tableColumn>
    <tableColumn id="30" xr3:uid="{5B8D2F54-446F-4DC9-BCA4-A8F03242F082}" uniqueName="30" name="Annual Capital Expenditure (2022-23)" queryTableFieldId="30" dataDxfId="26">
      <calculatedColumnFormula>SUM($G2,$H2,$I2, $J2, $K2)</calculatedColumnFormula>
    </tableColumn>
    <tableColumn id="31" xr3:uid="{E83221F3-4B22-40A5-A6E5-75B63608D4F2}" uniqueName="31" name="Annual Capital Expenditure (2023-24)" queryTableFieldId="31" dataDxfId="27">
      <calculatedColumnFormula>SUM($B2,$C2,$D2, $E2, $F2)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9C148-8263-4FD7-99CA-D00C0A97783D}" name="NIRF_IIIT_S_output" displayName="NIRF_IIIT_S_output" ref="A1:AE16" tableType="queryTable" totalsRowShown="0">
  <autoFilter ref="A1:AE16" xr:uid="{E289C148-8263-4FD7-99CA-D00C0A97783D}"/>
  <tableColumns count="31">
    <tableColumn id="1" xr3:uid="{C94D27F8-D9FC-43B5-99E7-F57EE02192F4}" uniqueName="1" name="College Name" queryTableFieldId="1" dataDxfId="24"/>
    <tableColumn id="2" xr3:uid="{2ACA79C3-1F2D-4F8F-9D73-ED0294F08698}" uniqueName="2" name="Library (2023-24)" queryTableFieldId="2"/>
    <tableColumn id="3" xr3:uid="{253DA427-F162-40BA-9576-9CA85847BF57}" uniqueName="3" name="New Equipment for Laboratories (2023-24)" queryTableFieldId="3"/>
    <tableColumn id="4" xr3:uid="{E5C5171F-E9C1-4361-8347-74930CF6EF37}" uniqueName="4" name="Engineering Workshops (2023-24)" queryTableFieldId="4"/>
    <tableColumn id="5" xr3:uid="{B6AB820F-98D0-444A-A8A2-ECF09D9CEEE0}" uniqueName="5" name="Studios (2023-24)" queryTableFieldId="5"/>
    <tableColumn id="6" xr3:uid="{07085B37-69AF-4190-A646-3C0B891631C1}" uniqueName="6" name="Other expenditure on creation of Capital Assets (2023-24)" queryTableFieldId="6"/>
    <tableColumn id="7" xr3:uid="{15693F59-484F-45C0-9FD6-539E46079725}" uniqueName="7" name="Library (2022-23)" queryTableFieldId="7"/>
    <tableColumn id="8" xr3:uid="{926E05C7-C0E1-4AB7-88C7-7E9B0D176972}" uniqueName="8" name="New Equipment for Laboratories (2022-23)" queryTableFieldId="8"/>
    <tableColumn id="9" xr3:uid="{D298F491-C3D2-4B26-ADA6-FD9EC92237FD}" uniqueName="9" name="Engineering Workshops (2022-23)" queryTableFieldId="9"/>
    <tableColumn id="10" xr3:uid="{219DE09C-8305-4E79-B3D0-57F019C4E432}" uniqueName="10" name="Studios (2022-23)" queryTableFieldId="10"/>
    <tableColumn id="11" xr3:uid="{29B15657-88EA-481B-8102-B3ED25B01C29}" uniqueName="11" name="Other expenditure on creation of Capital Assets (2022-23)" queryTableFieldId="11"/>
    <tableColumn id="12" xr3:uid="{B7B3FC70-44CE-4EA2-9AEC-5C699DB8C101}" uniqueName="12" name="Library (2021-22)" queryTableFieldId="12"/>
    <tableColumn id="13" xr3:uid="{EBB1F0E6-28AB-4F30-8CD2-A130E64D74C4}" uniqueName="13" name="New Equipment for Laboratories (2021-22)" queryTableFieldId="13"/>
    <tableColumn id="14" xr3:uid="{65D0D7C3-AC0F-4C21-B461-083AF0FB6D54}" uniqueName="14" name="Engineering Workshops (2021-22)" queryTableFieldId="14"/>
    <tableColumn id="15" xr3:uid="{146A814C-E93C-4F94-AB26-D8D12371FF6D}" uniqueName="15" name="Studios (2021-22)" queryTableFieldId="15"/>
    <tableColumn id="16" xr3:uid="{4A022000-02E7-42D7-8DC2-F25C4D574930}" uniqueName="16" name="Other expenditure on creation of Capital Assets (2021-22)" queryTableFieldId="16"/>
    <tableColumn id="17" xr3:uid="{859FEEDC-4110-4402-A812-52FA8A4DCC56}" uniqueName="17" name="Salaries (2023-24)" queryTableFieldId="17"/>
    <tableColumn id="18" xr3:uid="{A4F5DE3E-F158-4139-9A4E-60AE218678BF}" uniqueName="18" name="Maintenance of Academic Infrastructure or consumables and other running expenditures (2023-24)" queryTableFieldId="18"/>
    <tableColumn id="19" xr3:uid="{2D1F06CF-FAC8-4D2E-AD17-2BAF9B38579F}" uniqueName="19" name="Seminars/Conferences/Workshops (2023-24)" queryTableFieldId="19"/>
    <tableColumn id="20" xr3:uid="{87A30D41-DED2-4607-BE3E-187A47BDF073}" uniqueName="20" name="Salaries (2022-23)" queryTableFieldId="20"/>
    <tableColumn id="21" xr3:uid="{1EF971EE-D303-4A65-BB98-8AFF2DF361C3}" uniqueName="21" name="Maintenance of Academic Infrastructure or consumables and other running expenditures (2022-23)" queryTableFieldId="21"/>
    <tableColumn id="22" xr3:uid="{B1D75856-E48D-4A91-91F4-B6446E04F6A5}" uniqueName="22" name="Seminars/Conferences/Workshops (2022-23)" queryTableFieldId="22"/>
    <tableColumn id="23" xr3:uid="{8D594BDD-B369-40CB-BD83-F3940EA969F6}" uniqueName="23" name="Salaries (2021-22)" queryTableFieldId="23"/>
    <tableColumn id="24" xr3:uid="{BCBC89E1-4F26-4372-A965-84EF4D91FA5C}" uniqueName="24" name="Maintenance of Academic Infrastructure or consumables and other running expenditures (2021-22)" queryTableFieldId="24"/>
    <tableColumn id="25" xr3:uid="{1A9CB122-316C-430A-8498-D3BD9E191CD8}" uniqueName="25" name="Seminars/Conferences/Workshops (2021-22)" queryTableFieldId="25"/>
    <tableColumn id="26" xr3:uid="{B1A50824-0E16-4C11-A7B4-8C909DF94A04}" uniqueName="26" name="Annual Operational Expenditure (2021-22)" queryTableFieldId="26" dataDxfId="23">
      <calculatedColumnFormula>SUM($W2,$X2,$Y2)</calculatedColumnFormula>
    </tableColumn>
    <tableColumn id="27" xr3:uid="{A40D5577-6DF3-4332-AB4C-6BDD0A0F29C6}" uniqueName="27" name="Annual Operational Expenditure (2022-23)" queryTableFieldId="27" dataDxfId="22">
      <calculatedColumnFormula>SUM($T2,$U2,$V2)</calculatedColumnFormula>
    </tableColumn>
    <tableColumn id="28" xr3:uid="{641B292D-792C-4FF6-9F15-9E46569AD1B8}" uniqueName="28" name="Annual Operational Expenditure (2023-24)" queryTableFieldId="28" dataDxfId="21">
      <calculatedColumnFormula>SUM($Q2,$R2,$S2)</calculatedColumnFormula>
    </tableColumn>
    <tableColumn id="29" xr3:uid="{ADCC8AE1-8E5A-4E15-9DCC-F396C639D86C}" uniqueName="29" name="Annual Capital Expenditure (2021-22)" queryTableFieldId="29" dataDxfId="20">
      <calculatedColumnFormula>SUM($L2,$M2,$N2, $O2, $P2)</calculatedColumnFormula>
    </tableColumn>
    <tableColumn id="30" xr3:uid="{FFFF61D2-CA8D-41B2-8573-492BB061E819}" uniqueName="30" name="Annual Capital Expenditure (2022-23)" queryTableFieldId="30" dataDxfId="19">
      <calculatedColumnFormula>SUM($G2,$H2,$I2, $J2, $K2)</calculatedColumnFormula>
    </tableColumn>
    <tableColumn id="31" xr3:uid="{2D144924-A2CF-4C47-ACDD-A9110E53C3E9}" uniqueName="31" name="Annual Capital Expenditure (2023-24)" queryTableFieldId="31" dataDxfId="18">
      <calculatedColumnFormula>SUM($B2,$C2,$D2, $E2, $F2)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A3A369-F9D9-469C-8FDE-2FED26487D85}" name="NIRF_IISER_s_output" displayName="NIRF_IISER_s_output" ref="A1:AE8" tableType="queryTable" totalsRowShown="0">
  <autoFilter ref="A1:AE8" xr:uid="{19A3A369-F9D9-469C-8FDE-2FED26487D85}"/>
  <tableColumns count="31">
    <tableColumn id="1" xr3:uid="{DBE18815-B134-4D4E-8341-394ED83F7D07}" uniqueName="1" name="College Name" queryTableFieldId="1" dataDxfId="34"/>
    <tableColumn id="2" xr3:uid="{653AD1BE-8317-486C-890B-B2ADA2FF9663}" uniqueName="2" name="Library (2023-24)" queryTableFieldId="2"/>
    <tableColumn id="3" xr3:uid="{A939ABC9-CA1B-48DE-A248-8F7D5F88A747}" uniqueName="3" name="New Equipment for Laboratories (2023-24)" queryTableFieldId="3"/>
    <tableColumn id="4" xr3:uid="{835722D3-8DF3-4446-9E90-5149910E6A70}" uniqueName="4" name="Engineering Workshops (2023-24)" queryTableFieldId="4"/>
    <tableColumn id="5" xr3:uid="{C54EA627-0C74-4A65-923F-11B3445191F0}" uniqueName="5" name="Studios (2023-24)" queryTableFieldId="5"/>
    <tableColumn id="6" xr3:uid="{743FD01C-B5FB-4D25-A5F0-5E4B15F2D150}" uniqueName="6" name="Other expenditure on creation of Capital Assets (2023-24)" queryTableFieldId="6"/>
    <tableColumn id="7" xr3:uid="{2FFDD876-3D54-4B98-8D81-809690135EEC}" uniqueName="7" name="Library (2022-23)" queryTableFieldId="7"/>
    <tableColumn id="8" xr3:uid="{15496D20-7182-4DE8-98E7-539D1449C6E5}" uniqueName="8" name="New Equipment for Laboratories (2022-23)" queryTableFieldId="8"/>
    <tableColumn id="9" xr3:uid="{177772A7-FAC9-43B5-B03C-E64779E5A29D}" uniqueName="9" name="Engineering Workshops (2022-23)" queryTableFieldId="9"/>
    <tableColumn id="10" xr3:uid="{446920AC-D144-4A53-A601-AD96CBD1DA39}" uniqueName="10" name="Studios (2022-23)" queryTableFieldId="10"/>
    <tableColumn id="11" xr3:uid="{82F1F4F9-4D53-4B83-9F3B-6F08D1C932F5}" uniqueName="11" name="Other expenditure on creation of Capital Assets (2022-23)" queryTableFieldId="11"/>
    <tableColumn id="12" xr3:uid="{A7E6F17C-E123-4871-971A-31B1E8349F6A}" uniqueName="12" name="Library (2021-22)" queryTableFieldId="12"/>
    <tableColumn id="13" xr3:uid="{BC02C56E-FFC5-406C-9109-82C5D419343D}" uniqueName="13" name="New Equipment for Laboratories (2021-22)" queryTableFieldId="13"/>
    <tableColumn id="14" xr3:uid="{2667B069-22F8-4DD2-8708-BB4D0EA607A4}" uniqueName="14" name="Engineering Workshops (2021-22)" queryTableFieldId="14"/>
    <tableColumn id="15" xr3:uid="{3C8B6085-446D-4DA8-9E50-02CB1C2D288A}" uniqueName="15" name="Studios (2021-22)" queryTableFieldId="15"/>
    <tableColumn id="16" xr3:uid="{C2F8F7EE-4865-4694-B217-0DDFB56A2696}" uniqueName="16" name="Other expenditure on creation of Capital Assets (2021-22)" queryTableFieldId="16"/>
    <tableColumn id="17" xr3:uid="{F6393BE9-F807-4A86-B6B1-2D4D5CF6FD6A}" uniqueName="17" name="Salaries (2023-24)" queryTableFieldId="17"/>
    <tableColumn id="18" xr3:uid="{9C4768A9-376B-4DD4-85FD-3BBE15D4B1FE}" uniqueName="18" name="Maintenance of Academic Infrastructure or consumables and other running expenditures (2023-24)" queryTableFieldId="18"/>
    <tableColumn id="19" xr3:uid="{4C8A075F-3048-4D10-8740-38C806ABC6C5}" uniqueName="19" name="Seminars/Conferences/Workshops (2023-24)" queryTableFieldId="19"/>
    <tableColumn id="20" xr3:uid="{35568D67-5136-453F-A406-FC5A7D998649}" uniqueName="20" name="Salaries (2022-23)" queryTableFieldId="20"/>
    <tableColumn id="21" xr3:uid="{73EF5802-730E-4ED6-80E0-E4090BEA149E}" uniqueName="21" name="Maintenance of Academic Infrastructure or consumables and other running expenditures (2022-23)" queryTableFieldId="21"/>
    <tableColumn id="22" xr3:uid="{F6B9633B-FB58-4823-BA9F-90B898B59F4C}" uniqueName="22" name="Seminars/Conferences/Workshops (2022-23)" queryTableFieldId="22"/>
    <tableColumn id="23" xr3:uid="{23AB6496-0F60-4C63-A53A-B766350A5639}" uniqueName="23" name="Salaries (2021-22)" queryTableFieldId="23"/>
    <tableColumn id="24" xr3:uid="{5C6EA38C-FA58-4551-86DD-45C106AB37E5}" uniqueName="24" name="Maintenance of Academic Infrastructure or consumables and other running expenditures (2021-22)" queryTableFieldId="24"/>
    <tableColumn id="25" xr3:uid="{021CD7DC-2113-4B10-95F8-04335A6BC47B}" uniqueName="25" name="Seminars/Conferences/Workshops (2021-22)" queryTableFieldId="25"/>
    <tableColumn id="26" xr3:uid="{D9051955-2B4A-46CA-89B8-57EA996F138C}" uniqueName="26" name="Annual Operational Expenditure (2021-22)" queryTableFieldId="26" dataDxfId="17">
      <calculatedColumnFormula>SUM($W2,$X2,$Y2)</calculatedColumnFormula>
    </tableColumn>
    <tableColumn id="27" xr3:uid="{29D7C7D4-01B8-4683-A766-F9E21BADFE09}" uniqueName="27" name="Annual Operational Expenditure (2022-23)" queryTableFieldId="27" dataDxfId="16">
      <calculatedColumnFormula>SUM($T2,$U2,$V2)</calculatedColumnFormula>
    </tableColumn>
    <tableColumn id="28" xr3:uid="{3530017E-7D78-4012-8A18-97E4A408F955}" uniqueName="28" name="Annual Operational Expenditure (2023-24)" queryTableFieldId="28" dataDxfId="15">
      <calculatedColumnFormula>SUM($Q2,$R2,$S2)</calculatedColumnFormula>
    </tableColumn>
    <tableColumn id="29" xr3:uid="{04AFCC8E-1B2C-4177-977E-2965EC567F8F}" uniqueName="29" name="Annual Capital Expenditure (2021-22)" queryTableFieldId="29" dataDxfId="14">
      <calculatedColumnFormula>SUM($L2,$M2,$N2, $O2, $P2)</calculatedColumnFormula>
    </tableColumn>
    <tableColumn id="30" xr3:uid="{92E56D09-4E21-4585-9795-BB75DA6E7D9C}" uniqueName="30" name="Annual Capital Expenditure (2022-23)" queryTableFieldId="30" dataDxfId="13">
      <calculatedColumnFormula>SUM($G2,$H2,$I2, $J2, $K2)</calculatedColumnFormula>
    </tableColumn>
    <tableColumn id="31" xr3:uid="{C79292B5-247A-4C69-B8EB-EC37B55237A3}" uniqueName="31" name="Annual Capital Expenditure (2023-24)" queryTableFieldId="31" dataDxfId="12">
      <calculatedColumnFormula>SUM($B2,$C2,$D2, $E2, $F2)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10DBAB-E5BC-4675-8F2F-CC04EC049E98}" name="NIRF_IIT_S_output" displayName="NIRF_IIT_S_output" ref="A1:AE25" tableType="queryTable" totalsRowShown="0">
  <autoFilter ref="A1:AE25" xr:uid="{C210DBAB-E5BC-4675-8F2F-CC04EC049E98}"/>
  <tableColumns count="31">
    <tableColumn id="1" xr3:uid="{17DF0A30-48C2-43EE-B51C-14C0A5DD2427}" uniqueName="1" name="College Name" queryTableFieldId="1" dataDxfId="33"/>
    <tableColumn id="2" xr3:uid="{121B98A5-08DF-4BD9-8B8F-E107C68E9404}" uniqueName="2" name="Library (2023-24)" queryTableFieldId="2"/>
    <tableColumn id="3" xr3:uid="{499AF16D-2C8B-47E2-99AA-FA5D9893987E}" uniqueName="3" name="New Equipment for Laboratories (2023-24)" queryTableFieldId="3"/>
    <tableColumn id="4" xr3:uid="{EEB5841F-4F67-4FC7-9DEC-F5EB1C5DC3C1}" uniqueName="4" name="Engineering Workshops (2023-24)" queryTableFieldId="4"/>
    <tableColumn id="5" xr3:uid="{ED245ECC-FEF4-4994-B52C-C1EBD1A3C578}" uniqueName="5" name="Studios (2023-24)" queryTableFieldId="5"/>
    <tableColumn id="6" xr3:uid="{AC26EC1E-EF53-4A86-9E4A-BA6F3B35BA3A}" uniqueName="6" name="Other expenditure on creation of Capital Assets (2023-24)" queryTableFieldId="6"/>
    <tableColumn id="7" xr3:uid="{6F70FE1B-FA0B-44BA-9702-92CBF8CFB0AA}" uniqueName="7" name="Library (2022-23)" queryTableFieldId="7"/>
    <tableColumn id="8" xr3:uid="{4DFEFD0E-F315-4224-A149-771639409CDA}" uniqueName="8" name="New Equipment for Laboratories (2022-23)" queryTableFieldId="8"/>
    <tableColumn id="9" xr3:uid="{21AB21D7-5607-478C-93C7-362BC5FB67EE}" uniqueName="9" name="Engineering Workshops (2022-23)" queryTableFieldId="9"/>
    <tableColumn id="10" xr3:uid="{BD839B1E-4C2A-46F4-83A9-EEAECC1B6871}" uniqueName="10" name="Studios (2022-23)" queryTableFieldId="10"/>
    <tableColumn id="11" xr3:uid="{6AD45DF7-C418-4F98-A6A5-AAC5AA196DE8}" uniqueName="11" name="Other expenditure on creation of Capital Assets (2022-23)" queryTableFieldId="11"/>
    <tableColumn id="12" xr3:uid="{BB8A25BB-852F-42F1-B500-C9AAC0ACE710}" uniqueName="12" name="Library (2021-22)" queryTableFieldId="12"/>
    <tableColumn id="13" xr3:uid="{FC4C7492-85AF-4704-BCE9-89CAAD13D51C}" uniqueName="13" name="New Equipment for Laboratories (2021-22)" queryTableFieldId="13"/>
    <tableColumn id="14" xr3:uid="{DBAD7CBD-FF39-4A1E-A9C4-05C86DE0E1D3}" uniqueName="14" name="Engineering Workshops (2021-22)" queryTableFieldId="14"/>
    <tableColumn id="15" xr3:uid="{45249E0C-7B32-4B56-951D-DA5AD9183167}" uniqueName="15" name="Studios (2021-22)" queryTableFieldId="15"/>
    <tableColumn id="16" xr3:uid="{3D05555A-FE78-48B2-A6A8-343E29CFA021}" uniqueName="16" name="Other expenditure on creation of Capital Assets (2021-22)" queryTableFieldId="16"/>
    <tableColumn id="17" xr3:uid="{4AE44A5E-42DC-4AE8-8E92-626A0DC44A06}" uniqueName="17" name="Salaries (2023-24)" queryTableFieldId="17"/>
    <tableColumn id="18" xr3:uid="{6D154F0C-C2D6-4AC4-B25A-129401502BE5}" uniqueName="18" name="Maintenance of Academic Infrastructure or consumables and other running expenditures (2023-24)" queryTableFieldId="18"/>
    <tableColumn id="19" xr3:uid="{FD4F9538-B1FA-4776-B625-262C7A33E018}" uniqueName="19" name="Seminars/Conferences/Workshops (2023-24)" queryTableFieldId="19"/>
    <tableColumn id="20" xr3:uid="{87BC76B3-0087-47C4-87E9-3FF85F11649D}" uniqueName="20" name="Salaries (2022-23)" queryTableFieldId="20"/>
    <tableColumn id="21" xr3:uid="{7C88BB36-BF86-4C9E-8A5D-214FA23091F1}" uniqueName="21" name="Maintenance of Academic Infrastructure or consumables and other running expenditures (2022-23)" queryTableFieldId="21"/>
    <tableColumn id="22" xr3:uid="{F9D21548-B84E-44C8-9289-C081A8AB8665}" uniqueName="22" name="Seminars/Conferences/Workshops (2022-23)" queryTableFieldId="22"/>
    <tableColumn id="23" xr3:uid="{4C2370C7-7CC9-4DE1-9FD6-678E338E27F6}" uniqueName="23" name="Salaries (2021-22)" queryTableFieldId="23"/>
    <tableColumn id="24" xr3:uid="{6D85FDAC-1D2F-49BC-AF33-47424EAC9A28}" uniqueName="24" name="Maintenance of Academic Infrastructure or consumables and other running expenditures (2021-22)" queryTableFieldId="24"/>
    <tableColumn id="25" xr3:uid="{4DC44A36-8E42-492F-9751-126A189F4816}" uniqueName="25" name="Seminars/Conferences/Workshops (2021-22)" queryTableFieldId="25"/>
    <tableColumn id="26" xr3:uid="{F041BCB2-FF6B-42FD-8BFF-F191025CA3EB}" uniqueName="26" name="Annual Operational Expenditure (2021-22)" queryTableFieldId="26" dataDxfId="11">
      <calculatedColumnFormula>SUM($W2,$X2,$Y2)</calculatedColumnFormula>
    </tableColumn>
    <tableColumn id="27" xr3:uid="{611E29FC-C67D-47DC-BBAE-D18134B8AD88}" uniqueName="27" name="Annual Operational Expenditure (2022-23)" queryTableFieldId="27" dataDxfId="10">
      <calculatedColumnFormula>SUM($T2,$U2,$V2)</calculatedColumnFormula>
    </tableColumn>
    <tableColumn id="28" xr3:uid="{1D9DAF8E-11DA-4025-84B5-E06D9C0E17E9}" uniqueName="28" name="Annual Operational Expenditure (2023-24)" queryTableFieldId="28" dataDxfId="9">
      <calculatedColumnFormula>SUM($Q2,$R2,$S2)</calculatedColumnFormula>
    </tableColumn>
    <tableColumn id="29" xr3:uid="{C9E9674F-713A-4535-8F66-97CB33DA9E5E}" uniqueName="29" name="Annual Capital Expenditure (2021-22)" queryTableFieldId="29" dataDxfId="8">
      <calculatedColumnFormula>SUM($L2,$M2,$N2, $O2, $P2)</calculatedColumnFormula>
    </tableColumn>
    <tableColumn id="30" xr3:uid="{BB324ACC-243E-4BBA-89F1-0F9B03F54CC5}" uniqueName="30" name="Annual Capital Expenditure (2022-23)" queryTableFieldId="30" dataDxfId="7">
      <calculatedColumnFormula>SUM($G2,$H2,$I2, $J2, $K2)</calculatedColumnFormula>
    </tableColumn>
    <tableColumn id="31" xr3:uid="{2970F0AF-9715-4AEE-AD15-E06B2D982463}" uniqueName="31" name="Annual Capital Expenditure (2023-24)" queryTableFieldId="31" dataDxfId="6">
      <calculatedColumnFormula>SUM($B2,$C2,$D2, $E2, $F2)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229D92-788A-49BC-A51C-B5554BE699DB}" name="NIRF_NIT_S_output" displayName="NIRF_NIT_S_output" ref="A1:AE30" tableType="queryTable" totalsRowShown="0">
  <autoFilter ref="A1:AE30" xr:uid="{75229D92-788A-49BC-A51C-B5554BE699DB}"/>
  <tableColumns count="31">
    <tableColumn id="1" xr3:uid="{443C4A02-7EDE-45F2-A754-ABA38D3B0BE3}" uniqueName="1" name="College Name" queryTableFieldId="1" dataDxfId="32"/>
    <tableColumn id="2" xr3:uid="{4034C042-93AE-4AD6-A862-D0FE0D53D9BE}" uniqueName="2" name="Library (2023-24)" queryTableFieldId="2"/>
    <tableColumn id="3" xr3:uid="{C8F9D751-51FB-4E4F-9CF9-5DE2B3297D64}" uniqueName="3" name="New Equipment for Laboratories (2023-24)" queryTableFieldId="3"/>
    <tableColumn id="4" xr3:uid="{D686CD1B-0C56-4F0F-BDFC-4DD67595268C}" uniqueName="4" name="Engineering Workshops (2023-24)" queryTableFieldId="4"/>
    <tableColumn id="5" xr3:uid="{728AA748-CBDD-4E1B-B4FF-B9CC322903F9}" uniqueName="5" name="Studios (2023-24)" queryTableFieldId="5"/>
    <tableColumn id="6" xr3:uid="{38663338-9C15-4783-B781-4CC3F42B51A0}" uniqueName="6" name="Other expenditure on creation of Capital Assets (2023-24)" queryTableFieldId="6"/>
    <tableColumn id="7" xr3:uid="{BECC5C9D-DD13-4358-A29C-98A7A68DC5FA}" uniqueName="7" name="Library (2022-23)" queryTableFieldId="7"/>
    <tableColumn id="8" xr3:uid="{74C0BB24-6AAD-4A19-9F1F-568106F06E7F}" uniqueName="8" name="New Equipment for Laboratories (2022-23)" queryTableFieldId="8"/>
    <tableColumn id="9" xr3:uid="{F0C5E1E4-786E-4EF9-8A58-7A9AEAE513CB}" uniqueName="9" name="Engineering Workshops (2022-23)" queryTableFieldId="9"/>
    <tableColumn id="10" xr3:uid="{5FEF9611-D086-4C27-A010-FED4314391E4}" uniqueName="10" name="Studios (2022-23)" queryTableFieldId="10"/>
    <tableColumn id="11" xr3:uid="{73818318-98B0-4336-81AD-D3AA8AF00B26}" uniqueName="11" name="Other expenditure on creation of Capital Assets (2022-23)" queryTableFieldId="11"/>
    <tableColumn id="12" xr3:uid="{77B19D22-880F-42B3-BE15-1386F62EE728}" uniqueName="12" name="Library (2021-22)" queryTableFieldId="12"/>
    <tableColumn id="13" xr3:uid="{491C4BEF-603E-4617-9926-1E149EB89C6C}" uniqueName="13" name="New Equipment for Laboratories (2021-22)" queryTableFieldId="13"/>
    <tableColumn id="14" xr3:uid="{72C7521C-A6AE-4070-86F2-1459EA92B64C}" uniqueName="14" name="Engineering Workshops (2021-22)" queryTableFieldId="14"/>
    <tableColumn id="15" xr3:uid="{3FC342B2-7794-45A7-BBBB-872F368BF956}" uniqueName="15" name="Studios (2021-22)" queryTableFieldId="15"/>
    <tableColumn id="16" xr3:uid="{B50E215E-DFD9-4B38-A0EA-18AD316B8994}" uniqueName="16" name="Other expenditure on creation of Capital Assets (2021-22)" queryTableFieldId="16"/>
    <tableColumn id="17" xr3:uid="{0DC6591A-2F07-4887-A4A3-0ABBBE7D7205}" uniqueName="17" name="Salaries (2023-24)" queryTableFieldId="17"/>
    <tableColumn id="18" xr3:uid="{D4D085F0-1B12-4756-A45C-0F8962F67D1F}" uniqueName="18" name="Maintenance of Academic Infrastructure or consumables and other running expenditures (2023-24)" queryTableFieldId="18"/>
    <tableColumn id="19" xr3:uid="{F01A3F58-BA04-486F-828F-9F682F2398BE}" uniqueName="19" name="Seminars/Conferences/Workshops (2023-24)" queryTableFieldId="19"/>
    <tableColumn id="20" xr3:uid="{58B31150-5B93-4BB5-91B5-5F108E9F0A09}" uniqueName="20" name="Salaries (2022-23)" queryTableFieldId="20"/>
    <tableColumn id="21" xr3:uid="{3CF88238-6759-4BF1-B262-F9E3408FCC75}" uniqueName="21" name="Maintenance of Academic Infrastructure or consumables and other running expenditures (2022-23)" queryTableFieldId="21"/>
    <tableColumn id="22" xr3:uid="{5423A148-6EC6-48C4-8A99-55626DA4CEE4}" uniqueName="22" name="Seminars/Conferences/Workshops (2022-23)" queryTableFieldId="22"/>
    <tableColumn id="23" xr3:uid="{8B0E817D-1FFB-4E66-8AB2-326252301BF4}" uniqueName="23" name="Salaries (2021-22)" queryTableFieldId="23"/>
    <tableColumn id="24" xr3:uid="{F1AD2C59-6E07-4C5B-80F4-CF7D6A30B577}" uniqueName="24" name="Maintenance of Academic Infrastructure or consumables and other running expenditures (2021-22)" queryTableFieldId="24"/>
    <tableColumn id="25" xr3:uid="{C5A75181-A6B0-4F02-8EC5-9FF77C86EC46}" uniqueName="25" name="Seminars/Conferences/Workshops (2021-22)" queryTableFieldId="25"/>
    <tableColumn id="26" xr3:uid="{2BD8F9C2-1615-46FD-B426-42CBEFAEA30E}" uniqueName="26" name="Annual Operational Expenditure (2021-22)" queryTableFieldId="26" dataDxfId="5">
      <calculatedColumnFormula>SUM($W2,$X2,$Y2)</calculatedColumnFormula>
    </tableColumn>
    <tableColumn id="27" xr3:uid="{CEE6891F-8337-411C-8738-6D34503895EF}" uniqueName="27" name="Annual Operational Expenditure (2022-23)" queryTableFieldId="27" dataDxfId="4">
      <calculatedColumnFormula>SUM($T2,$U2,$V2)</calculatedColumnFormula>
    </tableColumn>
    <tableColumn id="28" xr3:uid="{3F52A3EA-F710-4B4A-A48F-F99ACA0589CE}" uniqueName="28" name="Annual Operational Expenditure (2023-24)" queryTableFieldId="28" dataDxfId="3">
      <calculatedColumnFormula>SUM($Q2,$R2,$S2)</calculatedColumnFormula>
    </tableColumn>
    <tableColumn id="29" xr3:uid="{77A900FA-4A92-4AEF-85A6-0899C384E975}" uniqueName="29" name="Annual Capital Expenditure (2021-22)" queryTableFieldId="29" dataDxfId="2">
      <calculatedColumnFormula>SUM($L2,$M2,$N2, $O2, $P2)</calculatedColumnFormula>
    </tableColumn>
    <tableColumn id="30" xr3:uid="{3CFDCC83-1185-4130-84DB-DA82388BB1B1}" uniqueName="30" name="Annual Capital Expenditure (2022-23)" queryTableFieldId="30" dataDxfId="1">
      <calculatedColumnFormula>SUM($G2,$H2,$I2, $J2, $K2)</calculatedColumnFormula>
    </tableColumn>
    <tableColumn id="31" xr3:uid="{E0393AA0-4339-496F-9CBC-34596A2CE461}" uniqueName="31" name="Annual Capital Expenditure (2023-24)" queryTableFieldId="31" dataDxfId="0">
      <calculatedColumnFormula>SUM($B2,$C2,$D2, $E2, $F2)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FEA4-8E3D-4E23-B81B-CD0337071F18}">
  <dimension ref="A1:AE38"/>
  <sheetViews>
    <sheetView topLeftCell="AA1" workbookViewId="0">
      <selection activeCell="Z1" sqref="Z1:AE2"/>
    </sheetView>
  </sheetViews>
  <sheetFormatPr defaultRowHeight="14.6" x14ac:dyDescent="0.4"/>
  <cols>
    <col min="1" max="1" width="57.61328125" bestFit="1" customWidth="1"/>
    <col min="2" max="2" width="17.15234375" bestFit="1" customWidth="1"/>
    <col min="3" max="3" width="38.84375" bestFit="1" customWidth="1"/>
    <col min="4" max="4" width="31.15234375" bestFit="1" customWidth="1"/>
    <col min="5" max="5" width="17.53515625" bestFit="1" customWidth="1"/>
    <col min="6" max="6" width="51.4609375" bestFit="1" customWidth="1"/>
    <col min="7" max="7" width="17.15234375" bestFit="1" customWidth="1"/>
    <col min="8" max="8" width="38.84375" bestFit="1" customWidth="1"/>
    <col min="9" max="9" width="31.15234375" bestFit="1" customWidth="1"/>
    <col min="10" max="10" width="17.53515625" bestFit="1" customWidth="1"/>
    <col min="11" max="11" width="51.4609375" bestFit="1" customWidth="1"/>
    <col min="12" max="12" width="17.15234375" bestFit="1" customWidth="1"/>
    <col min="13" max="13" width="38.84375" bestFit="1" customWidth="1"/>
    <col min="14" max="14" width="31.15234375" bestFit="1" customWidth="1"/>
    <col min="15" max="15" width="17.53515625" bestFit="1" customWidth="1"/>
    <col min="16" max="16" width="51.4609375" bestFit="1" customWidth="1"/>
    <col min="17" max="17" width="17.765625" bestFit="1" customWidth="1"/>
    <col min="18" max="18" width="80.61328125" bestFit="1" customWidth="1"/>
    <col min="19" max="19" width="40.69140625" bestFit="1" customWidth="1"/>
    <col min="20" max="20" width="17.765625" bestFit="1" customWidth="1"/>
    <col min="21" max="21" width="80.61328125" bestFit="1" customWidth="1"/>
    <col min="22" max="22" width="40.69140625" bestFit="1" customWidth="1"/>
    <col min="23" max="23" width="17.765625" bestFit="1" customWidth="1"/>
    <col min="24" max="24" width="80.61328125" bestFit="1" customWidth="1"/>
    <col min="25" max="25" width="40.69140625" bestFit="1" customWidth="1"/>
    <col min="26" max="28" width="38.69140625" bestFit="1" customWidth="1"/>
    <col min="29" max="31" width="34.460937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</row>
    <row r="2" spans="1:31" x14ac:dyDescent="0.4">
      <c r="A2" s="1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20356607</v>
      </c>
      <c r="H2">
        <v>125079979</v>
      </c>
      <c r="I2">
        <v>1764152</v>
      </c>
      <c r="J2">
        <v>569300</v>
      </c>
      <c r="K2">
        <v>139733856</v>
      </c>
      <c r="L2">
        <v>22280194</v>
      </c>
      <c r="M2">
        <v>211659826</v>
      </c>
      <c r="N2">
        <v>714321</v>
      </c>
      <c r="O2">
        <v>640000</v>
      </c>
      <c r="P2">
        <v>107514290</v>
      </c>
      <c r="Q2">
        <v>0</v>
      </c>
      <c r="R2">
        <v>0</v>
      </c>
      <c r="S2">
        <v>0</v>
      </c>
      <c r="T2">
        <v>11042115889</v>
      </c>
      <c r="U2">
        <v>1243064412</v>
      </c>
      <c r="V2">
        <v>9412165</v>
      </c>
      <c r="W2">
        <v>9546335906</v>
      </c>
      <c r="X2">
        <v>791018425</v>
      </c>
      <c r="Y2">
        <v>6320433</v>
      </c>
      <c r="Z2">
        <f t="shared" ref="Z2:Z38" si="0">SUM($W2,$X2,$Y2)</f>
        <v>10343674764</v>
      </c>
      <c r="AA2">
        <f t="shared" ref="AA2:AA38" si="1">SUM($T2,$U2,$V2)</f>
        <v>12294592466</v>
      </c>
      <c r="AB2">
        <f t="shared" ref="AB2:AB38" si="2">SUM($Q2,$R2,$S2)</f>
        <v>0</v>
      </c>
      <c r="AC2">
        <f t="shared" ref="AC2:AC38" si="3">SUM($L2,$M2,$N2, $O2, $P2)</f>
        <v>342808631</v>
      </c>
      <c r="AD2">
        <f t="shared" ref="AD2:AD38" si="4">SUM($G2,$H2,$I2, $J2, $K2)</f>
        <v>287503894</v>
      </c>
      <c r="AE2">
        <f t="shared" ref="AE2:AE38" si="5">SUM($B2,$C2,$D2, $E2, $F2)</f>
        <v>0</v>
      </c>
    </row>
    <row r="3" spans="1:31" x14ac:dyDescent="0.4">
      <c r="A3" s="1" t="s">
        <v>26</v>
      </c>
      <c r="B3">
        <v>10559325</v>
      </c>
      <c r="C3">
        <v>10416454</v>
      </c>
      <c r="D3">
        <v>819723</v>
      </c>
      <c r="E3">
        <v>512000</v>
      </c>
      <c r="F3">
        <v>334632020</v>
      </c>
      <c r="G3">
        <v>11174463</v>
      </c>
      <c r="H3">
        <v>41761219</v>
      </c>
      <c r="I3">
        <v>23840</v>
      </c>
      <c r="J3">
        <v>645000</v>
      </c>
      <c r="K3">
        <v>203504618</v>
      </c>
      <c r="L3">
        <v>20943607</v>
      </c>
      <c r="M3">
        <v>28090478</v>
      </c>
      <c r="N3">
        <v>6200000</v>
      </c>
      <c r="O3">
        <v>619000</v>
      </c>
      <c r="P3">
        <v>70257082</v>
      </c>
      <c r="Q3">
        <v>1464587702</v>
      </c>
      <c r="R3">
        <v>486401451</v>
      </c>
      <c r="S3">
        <v>1002197</v>
      </c>
      <c r="T3">
        <v>1464587702</v>
      </c>
      <c r="U3">
        <v>379942222</v>
      </c>
      <c r="V3">
        <v>526596</v>
      </c>
      <c r="W3">
        <v>1314445180</v>
      </c>
      <c r="X3">
        <v>340716674</v>
      </c>
      <c r="Y3">
        <v>419301</v>
      </c>
      <c r="Z3">
        <f t="shared" si="0"/>
        <v>1655581155</v>
      </c>
      <c r="AA3">
        <f t="shared" si="1"/>
        <v>1845056520</v>
      </c>
      <c r="AB3">
        <f t="shared" si="2"/>
        <v>1951991350</v>
      </c>
      <c r="AC3">
        <f t="shared" si="3"/>
        <v>126110167</v>
      </c>
      <c r="AD3">
        <f t="shared" si="4"/>
        <v>257109140</v>
      </c>
      <c r="AE3">
        <f t="shared" si="5"/>
        <v>356939522</v>
      </c>
    </row>
    <row r="4" spans="1:31" x14ac:dyDescent="0.4">
      <c r="A4" s="1" t="s">
        <v>27</v>
      </c>
      <c r="B4">
        <v>49102050</v>
      </c>
      <c r="C4">
        <v>48521502</v>
      </c>
      <c r="D4">
        <v>10252100</v>
      </c>
      <c r="E4">
        <v>21020941</v>
      </c>
      <c r="F4">
        <v>135241521</v>
      </c>
      <c r="G4">
        <v>46176100</v>
      </c>
      <c r="H4">
        <v>42704000</v>
      </c>
      <c r="I4">
        <v>9227350</v>
      </c>
      <c r="J4">
        <v>19780400</v>
      </c>
      <c r="K4">
        <v>112843700</v>
      </c>
      <c r="L4">
        <v>38450200</v>
      </c>
      <c r="M4">
        <v>39452800</v>
      </c>
      <c r="N4">
        <v>8720520</v>
      </c>
      <c r="O4">
        <v>17403500</v>
      </c>
      <c r="P4">
        <v>105400000</v>
      </c>
      <c r="Q4">
        <v>1175276390</v>
      </c>
      <c r="R4">
        <v>302512030</v>
      </c>
      <c r="S4">
        <v>1456290</v>
      </c>
      <c r="T4">
        <v>979396992</v>
      </c>
      <c r="U4">
        <v>283852000</v>
      </c>
      <c r="V4">
        <v>1224327</v>
      </c>
      <c r="W4">
        <v>740866348</v>
      </c>
      <c r="X4">
        <v>215279500</v>
      </c>
      <c r="Y4">
        <v>765240</v>
      </c>
      <c r="Z4">
        <f t="shared" si="0"/>
        <v>956911088</v>
      </c>
      <c r="AA4">
        <f t="shared" si="1"/>
        <v>1264473319</v>
      </c>
      <c r="AB4">
        <f t="shared" si="2"/>
        <v>1479244710</v>
      </c>
      <c r="AC4">
        <f t="shared" si="3"/>
        <v>209427020</v>
      </c>
      <c r="AD4">
        <f t="shared" si="4"/>
        <v>230731550</v>
      </c>
      <c r="AE4">
        <f t="shared" si="5"/>
        <v>264138114</v>
      </c>
    </row>
    <row r="5" spans="1:31" x14ac:dyDescent="0.4">
      <c r="A5" s="1" t="s">
        <v>28</v>
      </c>
      <c r="B5">
        <v>98191113</v>
      </c>
      <c r="C5">
        <v>1066144689</v>
      </c>
      <c r="D5">
        <v>43900937</v>
      </c>
      <c r="E5">
        <v>300000</v>
      </c>
      <c r="F5">
        <v>456283812</v>
      </c>
      <c r="G5">
        <v>76505317</v>
      </c>
      <c r="H5">
        <v>716048897</v>
      </c>
      <c r="I5">
        <v>20131923</v>
      </c>
      <c r="J5">
        <v>0</v>
      </c>
      <c r="K5">
        <v>254269584</v>
      </c>
      <c r="L5">
        <v>18579661</v>
      </c>
      <c r="M5">
        <v>890629838</v>
      </c>
      <c r="N5">
        <v>28097143</v>
      </c>
      <c r="O5">
        <v>0</v>
      </c>
      <c r="P5">
        <v>214456345</v>
      </c>
      <c r="Q5">
        <v>14602652173</v>
      </c>
      <c r="R5">
        <v>7487949716</v>
      </c>
      <c r="S5">
        <v>61617350</v>
      </c>
      <c r="T5">
        <v>16202283739</v>
      </c>
      <c r="U5">
        <v>6168115794</v>
      </c>
      <c r="V5">
        <v>104822367</v>
      </c>
      <c r="W5">
        <v>13112615287</v>
      </c>
      <c r="X5">
        <v>4973468020</v>
      </c>
      <c r="Y5">
        <v>1474092</v>
      </c>
      <c r="Z5">
        <f t="shared" si="0"/>
        <v>18087557399</v>
      </c>
      <c r="AA5">
        <f t="shared" si="1"/>
        <v>22475221900</v>
      </c>
      <c r="AB5">
        <f t="shared" si="2"/>
        <v>22152219239</v>
      </c>
      <c r="AC5">
        <f t="shared" si="3"/>
        <v>1151762987</v>
      </c>
      <c r="AD5">
        <f t="shared" si="4"/>
        <v>1066955721</v>
      </c>
      <c r="AE5">
        <f t="shared" si="5"/>
        <v>1664820551</v>
      </c>
    </row>
    <row r="6" spans="1:31" x14ac:dyDescent="0.4">
      <c r="A6" s="1" t="s">
        <v>29</v>
      </c>
      <c r="B6">
        <v>0</v>
      </c>
      <c r="C6">
        <v>23011585</v>
      </c>
      <c r="D6">
        <v>249107</v>
      </c>
      <c r="E6">
        <v>0</v>
      </c>
      <c r="F6">
        <v>62241938</v>
      </c>
      <c r="G6">
        <v>0</v>
      </c>
      <c r="H6">
        <v>4599158</v>
      </c>
      <c r="I6">
        <v>693160</v>
      </c>
      <c r="J6">
        <v>0</v>
      </c>
      <c r="K6">
        <v>99118568</v>
      </c>
      <c r="L6">
        <v>0</v>
      </c>
      <c r="M6">
        <v>5174986</v>
      </c>
      <c r="N6">
        <v>0</v>
      </c>
      <c r="O6">
        <v>727981</v>
      </c>
      <c r="P6">
        <v>19618637</v>
      </c>
      <c r="Q6">
        <v>57297154</v>
      </c>
      <c r="R6">
        <v>71240653</v>
      </c>
      <c r="S6">
        <v>320000</v>
      </c>
      <c r="T6">
        <v>45958602</v>
      </c>
      <c r="U6">
        <v>56955745</v>
      </c>
      <c r="V6">
        <v>240000</v>
      </c>
      <c r="W6">
        <v>31297741</v>
      </c>
      <c r="X6">
        <v>14157462</v>
      </c>
      <c r="Y6">
        <v>150000</v>
      </c>
      <c r="Z6">
        <f t="shared" si="0"/>
        <v>45605203</v>
      </c>
      <c r="AA6">
        <f t="shared" si="1"/>
        <v>103154347</v>
      </c>
      <c r="AB6">
        <f t="shared" si="2"/>
        <v>128857807</v>
      </c>
      <c r="AC6">
        <f t="shared" si="3"/>
        <v>25521604</v>
      </c>
      <c r="AD6">
        <f t="shared" si="4"/>
        <v>104410886</v>
      </c>
      <c r="AE6">
        <f t="shared" si="5"/>
        <v>85502630</v>
      </c>
    </row>
    <row r="7" spans="1:31" x14ac:dyDescent="0.4">
      <c r="A7" s="1" t="s">
        <v>30</v>
      </c>
      <c r="B7">
        <v>8501830</v>
      </c>
      <c r="C7">
        <v>10012870</v>
      </c>
      <c r="D7">
        <v>0</v>
      </c>
      <c r="E7">
        <v>0</v>
      </c>
      <c r="F7">
        <v>15310555</v>
      </c>
      <c r="G7">
        <v>14196258</v>
      </c>
      <c r="H7">
        <v>14729541</v>
      </c>
      <c r="I7">
        <v>0</v>
      </c>
      <c r="J7">
        <v>8257722</v>
      </c>
      <c r="K7">
        <v>13997150</v>
      </c>
      <c r="L7">
        <v>17388678</v>
      </c>
      <c r="M7">
        <v>7834570</v>
      </c>
      <c r="N7">
        <v>0</v>
      </c>
      <c r="O7">
        <v>0</v>
      </c>
      <c r="P7">
        <v>49052863</v>
      </c>
      <c r="Q7">
        <v>551169220</v>
      </c>
      <c r="R7">
        <v>132952514</v>
      </c>
      <c r="S7">
        <v>854142</v>
      </c>
      <c r="T7">
        <v>394827696</v>
      </c>
      <c r="U7">
        <v>25057555</v>
      </c>
      <c r="V7">
        <v>600252</v>
      </c>
      <c r="W7">
        <v>225148179</v>
      </c>
      <c r="X7">
        <v>133653444</v>
      </c>
      <c r="Y7">
        <v>250370</v>
      </c>
      <c r="Z7">
        <f t="shared" si="0"/>
        <v>359051993</v>
      </c>
      <c r="AA7">
        <f t="shared" si="1"/>
        <v>420485503</v>
      </c>
      <c r="AB7">
        <f t="shared" si="2"/>
        <v>684975876</v>
      </c>
      <c r="AC7">
        <f t="shared" si="3"/>
        <v>74276111</v>
      </c>
      <c r="AD7">
        <f t="shared" si="4"/>
        <v>51180671</v>
      </c>
      <c r="AE7">
        <f t="shared" si="5"/>
        <v>33825255</v>
      </c>
    </row>
    <row r="8" spans="1:31" x14ac:dyDescent="0.4">
      <c r="A8" s="1" t="s">
        <v>31</v>
      </c>
      <c r="B8">
        <v>10663000</v>
      </c>
      <c r="C8">
        <v>74714679</v>
      </c>
      <c r="D8">
        <v>344814</v>
      </c>
      <c r="E8">
        <v>669000</v>
      </c>
      <c r="F8">
        <v>41546183</v>
      </c>
      <c r="G8">
        <v>1779973</v>
      </c>
      <c r="H8">
        <v>12512852</v>
      </c>
      <c r="I8">
        <v>72843</v>
      </c>
      <c r="J8">
        <v>537000</v>
      </c>
      <c r="K8">
        <v>68817772</v>
      </c>
      <c r="L8">
        <v>3850922</v>
      </c>
      <c r="M8">
        <v>36903049</v>
      </c>
      <c r="N8">
        <v>3264454</v>
      </c>
      <c r="O8">
        <v>0</v>
      </c>
      <c r="P8">
        <v>2412747</v>
      </c>
      <c r="Q8">
        <v>640084728</v>
      </c>
      <c r="R8">
        <v>290162712</v>
      </c>
      <c r="S8">
        <v>8160670</v>
      </c>
      <c r="T8">
        <v>480996464</v>
      </c>
      <c r="U8">
        <v>14668579</v>
      </c>
      <c r="V8">
        <v>6932024</v>
      </c>
      <c r="W8">
        <v>379530810</v>
      </c>
      <c r="X8">
        <v>3113354</v>
      </c>
      <c r="Y8">
        <v>119777</v>
      </c>
      <c r="Z8">
        <f t="shared" si="0"/>
        <v>382763941</v>
      </c>
      <c r="AA8">
        <f t="shared" si="1"/>
        <v>502597067</v>
      </c>
      <c r="AB8">
        <f t="shared" si="2"/>
        <v>938408110</v>
      </c>
      <c r="AC8">
        <f t="shared" si="3"/>
        <v>46431172</v>
      </c>
      <c r="AD8">
        <f t="shared" si="4"/>
        <v>83720440</v>
      </c>
      <c r="AE8">
        <f t="shared" si="5"/>
        <v>127937676</v>
      </c>
    </row>
    <row r="9" spans="1:31" x14ac:dyDescent="0.4">
      <c r="A9" s="1" t="s">
        <v>32</v>
      </c>
      <c r="B9">
        <v>10054756</v>
      </c>
      <c r="C9">
        <v>19219081</v>
      </c>
      <c r="D9">
        <v>112417</v>
      </c>
      <c r="E9">
        <v>958242</v>
      </c>
      <c r="F9">
        <v>13737829</v>
      </c>
      <c r="G9">
        <v>6812952</v>
      </c>
      <c r="H9">
        <v>12284534</v>
      </c>
      <c r="I9">
        <v>494549</v>
      </c>
      <c r="J9">
        <v>1753490</v>
      </c>
      <c r="K9">
        <v>16596784</v>
      </c>
      <c r="L9">
        <v>3490100</v>
      </c>
      <c r="M9">
        <v>3857088</v>
      </c>
      <c r="N9">
        <v>672317</v>
      </c>
      <c r="O9">
        <v>0</v>
      </c>
      <c r="P9">
        <v>13969349</v>
      </c>
      <c r="Q9">
        <v>548255785</v>
      </c>
      <c r="R9">
        <v>41285434</v>
      </c>
      <c r="S9">
        <v>635514</v>
      </c>
      <c r="T9">
        <v>422965861</v>
      </c>
      <c r="U9">
        <v>34881413</v>
      </c>
      <c r="V9">
        <v>885486</v>
      </c>
      <c r="W9">
        <v>286804324</v>
      </c>
      <c r="X9">
        <v>31501297</v>
      </c>
      <c r="Y9">
        <v>333239</v>
      </c>
      <c r="Z9">
        <f t="shared" si="0"/>
        <v>318638860</v>
      </c>
      <c r="AA9">
        <f t="shared" si="1"/>
        <v>458732760</v>
      </c>
      <c r="AB9">
        <f t="shared" si="2"/>
        <v>590176733</v>
      </c>
      <c r="AC9">
        <f t="shared" si="3"/>
        <v>21988854</v>
      </c>
      <c r="AD9">
        <f t="shared" si="4"/>
        <v>37942309</v>
      </c>
      <c r="AE9">
        <f t="shared" si="5"/>
        <v>44082325</v>
      </c>
    </row>
    <row r="10" spans="1:31" x14ac:dyDescent="0.4">
      <c r="A10" s="1" t="s">
        <v>33</v>
      </c>
      <c r="B10">
        <v>5273563</v>
      </c>
      <c r="C10">
        <v>7863122</v>
      </c>
      <c r="D10">
        <v>16045079</v>
      </c>
      <c r="E10">
        <v>1373320</v>
      </c>
      <c r="F10">
        <v>114209373</v>
      </c>
      <c r="G10">
        <v>5023933</v>
      </c>
      <c r="H10">
        <v>66044938</v>
      </c>
      <c r="I10">
        <v>44121731</v>
      </c>
      <c r="J10">
        <v>12469875</v>
      </c>
      <c r="K10">
        <v>143968177</v>
      </c>
      <c r="L10">
        <v>7646904</v>
      </c>
      <c r="M10">
        <v>33430462</v>
      </c>
      <c r="N10">
        <v>32436090</v>
      </c>
      <c r="O10">
        <v>0</v>
      </c>
      <c r="P10">
        <v>16116257</v>
      </c>
      <c r="Q10">
        <v>337993092</v>
      </c>
      <c r="R10">
        <v>188529786</v>
      </c>
      <c r="S10">
        <v>4142239</v>
      </c>
      <c r="T10">
        <v>263451082</v>
      </c>
      <c r="U10">
        <v>171148611</v>
      </c>
      <c r="V10">
        <v>2155456</v>
      </c>
      <c r="W10">
        <v>225195819</v>
      </c>
      <c r="X10">
        <v>127912608</v>
      </c>
      <c r="Y10">
        <v>543276</v>
      </c>
      <c r="Z10">
        <f t="shared" si="0"/>
        <v>353651703</v>
      </c>
      <c r="AA10">
        <f t="shared" si="1"/>
        <v>436755149</v>
      </c>
      <c r="AB10">
        <f t="shared" si="2"/>
        <v>530665117</v>
      </c>
      <c r="AC10">
        <f t="shared" si="3"/>
        <v>89629713</v>
      </c>
      <c r="AD10">
        <f t="shared" si="4"/>
        <v>271628654</v>
      </c>
      <c r="AE10">
        <f t="shared" si="5"/>
        <v>144764457</v>
      </c>
    </row>
    <row r="11" spans="1:31" x14ac:dyDescent="0.4">
      <c r="A11" s="1" t="s">
        <v>34</v>
      </c>
      <c r="B11">
        <v>7497000</v>
      </c>
      <c r="C11">
        <v>11744000</v>
      </c>
      <c r="D11">
        <v>0</v>
      </c>
      <c r="E11">
        <v>0</v>
      </c>
      <c r="F11">
        <v>130471000</v>
      </c>
      <c r="G11">
        <v>10297000</v>
      </c>
      <c r="H11">
        <v>11498000</v>
      </c>
      <c r="I11">
        <v>0</v>
      </c>
      <c r="J11">
        <v>0</v>
      </c>
      <c r="K11">
        <v>134585000</v>
      </c>
      <c r="L11">
        <v>13380000</v>
      </c>
      <c r="M11">
        <v>286000</v>
      </c>
      <c r="N11">
        <v>0</v>
      </c>
      <c r="O11">
        <v>2759000</v>
      </c>
      <c r="P11">
        <v>4365000</v>
      </c>
      <c r="Q11">
        <v>393209000</v>
      </c>
      <c r="R11">
        <v>202294590</v>
      </c>
      <c r="S11">
        <v>276410</v>
      </c>
      <c r="T11">
        <v>328450000</v>
      </c>
      <c r="U11">
        <v>202345000</v>
      </c>
      <c r="V11">
        <v>0</v>
      </c>
      <c r="W11">
        <v>297464000</v>
      </c>
      <c r="X11">
        <v>105817000</v>
      </c>
      <c r="Y11">
        <v>21000</v>
      </c>
      <c r="Z11">
        <f t="shared" si="0"/>
        <v>403302000</v>
      </c>
      <c r="AA11">
        <f t="shared" si="1"/>
        <v>530795000</v>
      </c>
      <c r="AB11">
        <f t="shared" si="2"/>
        <v>595780000</v>
      </c>
      <c r="AC11">
        <f t="shared" si="3"/>
        <v>20790000</v>
      </c>
      <c r="AD11">
        <f t="shared" si="4"/>
        <v>156380000</v>
      </c>
      <c r="AE11">
        <f t="shared" si="5"/>
        <v>149712000</v>
      </c>
    </row>
    <row r="12" spans="1:31" x14ac:dyDescent="0.4">
      <c r="A12" s="1" t="s">
        <v>35</v>
      </c>
      <c r="B12">
        <v>5467466</v>
      </c>
      <c r="C12">
        <v>6294241</v>
      </c>
      <c r="D12">
        <v>8218252</v>
      </c>
      <c r="E12">
        <v>4495849</v>
      </c>
      <c r="F12">
        <v>26247503</v>
      </c>
      <c r="G12">
        <v>6034000</v>
      </c>
      <c r="H12">
        <v>7813000</v>
      </c>
      <c r="I12">
        <v>12122000</v>
      </c>
      <c r="J12">
        <v>0</v>
      </c>
      <c r="K12">
        <v>50162000</v>
      </c>
      <c r="L12">
        <v>7455166</v>
      </c>
      <c r="M12">
        <v>19049816</v>
      </c>
      <c r="N12">
        <v>0</v>
      </c>
      <c r="O12">
        <v>107395</v>
      </c>
      <c r="P12">
        <v>36114688</v>
      </c>
      <c r="Q12">
        <v>515304913</v>
      </c>
      <c r="R12">
        <v>58907142</v>
      </c>
      <c r="S12">
        <v>4149244</v>
      </c>
      <c r="T12">
        <v>225893729</v>
      </c>
      <c r="U12">
        <v>21127704</v>
      </c>
      <c r="V12">
        <v>3222962</v>
      </c>
      <c r="W12">
        <v>212837600</v>
      </c>
      <c r="X12">
        <v>26674320</v>
      </c>
      <c r="Y12">
        <v>1417083</v>
      </c>
      <c r="Z12">
        <f t="shared" si="0"/>
        <v>240929003</v>
      </c>
      <c r="AA12">
        <f t="shared" si="1"/>
        <v>250244395</v>
      </c>
      <c r="AB12">
        <f t="shared" si="2"/>
        <v>578361299</v>
      </c>
      <c r="AC12">
        <f t="shared" si="3"/>
        <v>62727065</v>
      </c>
      <c r="AD12">
        <f t="shared" si="4"/>
        <v>76131000</v>
      </c>
      <c r="AE12">
        <f t="shared" si="5"/>
        <v>50723311</v>
      </c>
    </row>
    <row r="13" spans="1:31" x14ac:dyDescent="0.4">
      <c r="A13" s="1" t="s">
        <v>36</v>
      </c>
      <c r="B13">
        <v>4503056</v>
      </c>
      <c r="C13">
        <v>5885499</v>
      </c>
      <c r="D13">
        <v>0</v>
      </c>
      <c r="E13">
        <v>901672</v>
      </c>
      <c r="F13">
        <v>33047310</v>
      </c>
      <c r="G13">
        <v>5666640</v>
      </c>
      <c r="H13">
        <v>6360096</v>
      </c>
      <c r="I13">
        <v>0</v>
      </c>
      <c r="J13">
        <v>0</v>
      </c>
      <c r="K13">
        <v>28854686</v>
      </c>
      <c r="L13">
        <v>6305787</v>
      </c>
      <c r="M13">
        <v>282453</v>
      </c>
      <c r="N13">
        <v>0</v>
      </c>
      <c r="O13">
        <v>2238733</v>
      </c>
      <c r="P13">
        <v>52441155</v>
      </c>
      <c r="Q13">
        <v>215716863</v>
      </c>
      <c r="R13">
        <v>226462367</v>
      </c>
      <c r="S13">
        <v>0</v>
      </c>
      <c r="T13">
        <v>185466470</v>
      </c>
      <c r="U13">
        <v>190579720</v>
      </c>
      <c r="V13">
        <v>0</v>
      </c>
      <c r="W13">
        <v>179953614</v>
      </c>
      <c r="X13">
        <v>206685079</v>
      </c>
      <c r="Y13">
        <v>0</v>
      </c>
      <c r="Z13">
        <f t="shared" si="0"/>
        <v>386638693</v>
      </c>
      <c r="AA13">
        <f t="shared" si="1"/>
        <v>376046190</v>
      </c>
      <c r="AB13">
        <f t="shared" si="2"/>
        <v>442179230</v>
      </c>
      <c r="AC13">
        <f t="shared" si="3"/>
        <v>61268128</v>
      </c>
      <c r="AD13">
        <f t="shared" si="4"/>
        <v>40881422</v>
      </c>
      <c r="AE13">
        <f t="shared" si="5"/>
        <v>44337537</v>
      </c>
    </row>
    <row r="14" spans="1:31" x14ac:dyDescent="0.4">
      <c r="A14" s="1" t="s">
        <v>37</v>
      </c>
      <c r="B14">
        <v>8180949</v>
      </c>
      <c r="C14">
        <v>40500360</v>
      </c>
      <c r="D14">
        <v>0</v>
      </c>
      <c r="E14">
        <v>3048471</v>
      </c>
      <c r="F14">
        <v>21986397</v>
      </c>
      <c r="G14">
        <v>5073326</v>
      </c>
      <c r="H14">
        <v>31748807</v>
      </c>
      <c r="I14">
        <v>0</v>
      </c>
      <c r="J14">
        <v>0</v>
      </c>
      <c r="K14">
        <v>64506114</v>
      </c>
      <c r="L14">
        <v>8000470</v>
      </c>
      <c r="M14">
        <v>39244058</v>
      </c>
      <c r="N14">
        <v>0</v>
      </c>
      <c r="O14">
        <v>705181</v>
      </c>
      <c r="P14">
        <v>57190724</v>
      </c>
      <c r="Q14">
        <v>541011347</v>
      </c>
      <c r="R14">
        <v>43251019</v>
      </c>
      <c r="S14">
        <v>1010955</v>
      </c>
      <c r="T14">
        <v>396911917</v>
      </c>
      <c r="U14">
        <v>69923007</v>
      </c>
      <c r="V14">
        <v>2525633</v>
      </c>
      <c r="W14">
        <v>328245808</v>
      </c>
      <c r="X14">
        <v>20653768</v>
      </c>
      <c r="Y14">
        <v>956854</v>
      </c>
      <c r="Z14">
        <f t="shared" si="0"/>
        <v>349856430</v>
      </c>
      <c r="AA14">
        <f t="shared" si="1"/>
        <v>469360557</v>
      </c>
      <c r="AB14">
        <f t="shared" si="2"/>
        <v>585273321</v>
      </c>
      <c r="AC14">
        <f t="shared" si="3"/>
        <v>105140433</v>
      </c>
      <c r="AD14">
        <f t="shared" si="4"/>
        <v>101328247</v>
      </c>
      <c r="AE14">
        <f t="shared" si="5"/>
        <v>73716177</v>
      </c>
    </row>
    <row r="15" spans="1:31" x14ac:dyDescent="0.4">
      <c r="A15" s="1" t="s">
        <v>38</v>
      </c>
      <c r="B15">
        <v>20855922</v>
      </c>
      <c r="C15">
        <v>240184</v>
      </c>
      <c r="D15">
        <v>0</v>
      </c>
      <c r="E15">
        <v>49789</v>
      </c>
      <c r="F15">
        <v>173055687</v>
      </c>
      <c r="G15">
        <v>20034279</v>
      </c>
      <c r="H15">
        <v>0</v>
      </c>
      <c r="I15">
        <v>0</v>
      </c>
      <c r="J15">
        <v>0</v>
      </c>
      <c r="K15">
        <v>133637457</v>
      </c>
      <c r="L15">
        <v>2601105</v>
      </c>
      <c r="M15">
        <v>262153</v>
      </c>
      <c r="N15">
        <v>0</v>
      </c>
      <c r="O15">
        <v>96280</v>
      </c>
      <c r="P15">
        <v>140011550</v>
      </c>
      <c r="Q15">
        <v>102381837</v>
      </c>
      <c r="R15">
        <v>154251800</v>
      </c>
      <c r="S15">
        <v>7582118</v>
      </c>
      <c r="T15">
        <v>57132501</v>
      </c>
      <c r="U15">
        <v>132228755</v>
      </c>
      <c r="V15">
        <v>5611306</v>
      </c>
      <c r="W15">
        <v>56489139</v>
      </c>
      <c r="X15">
        <v>131672537</v>
      </c>
      <c r="Y15">
        <v>22373</v>
      </c>
      <c r="Z15">
        <f t="shared" si="0"/>
        <v>188184049</v>
      </c>
      <c r="AA15">
        <f t="shared" si="1"/>
        <v>194972562</v>
      </c>
      <c r="AB15">
        <f t="shared" si="2"/>
        <v>264215755</v>
      </c>
      <c r="AC15">
        <f t="shared" si="3"/>
        <v>142971088</v>
      </c>
      <c r="AD15">
        <f t="shared" si="4"/>
        <v>153671736</v>
      </c>
      <c r="AE15">
        <f t="shared" si="5"/>
        <v>194201582</v>
      </c>
    </row>
    <row r="16" spans="1:31" x14ac:dyDescent="0.4">
      <c r="A16" s="1" t="s">
        <v>39</v>
      </c>
      <c r="B16">
        <v>4872456</v>
      </c>
      <c r="C16">
        <v>19128643</v>
      </c>
      <c r="D16">
        <v>210000</v>
      </c>
      <c r="E16">
        <v>0</v>
      </c>
      <c r="F16">
        <v>57988028</v>
      </c>
      <c r="G16">
        <v>4629559</v>
      </c>
      <c r="H16">
        <v>12364170</v>
      </c>
      <c r="I16">
        <v>35556</v>
      </c>
      <c r="J16">
        <v>660081</v>
      </c>
      <c r="K16">
        <v>278823746</v>
      </c>
      <c r="L16">
        <v>8929528</v>
      </c>
      <c r="M16">
        <v>11990686</v>
      </c>
      <c r="N16">
        <v>0</v>
      </c>
      <c r="O16">
        <v>1270908</v>
      </c>
      <c r="P16">
        <v>67714622</v>
      </c>
      <c r="Q16">
        <v>419716660</v>
      </c>
      <c r="R16">
        <v>302774370</v>
      </c>
      <c r="S16">
        <v>1695063</v>
      </c>
      <c r="T16">
        <v>362471518</v>
      </c>
      <c r="U16">
        <v>244542224</v>
      </c>
      <c r="V16">
        <v>1226312</v>
      </c>
      <c r="W16">
        <v>289232834</v>
      </c>
      <c r="X16">
        <v>220428420</v>
      </c>
      <c r="Y16">
        <v>585425</v>
      </c>
      <c r="Z16">
        <f t="shared" si="0"/>
        <v>510246679</v>
      </c>
      <c r="AA16">
        <f t="shared" si="1"/>
        <v>608240054</v>
      </c>
      <c r="AB16">
        <f t="shared" si="2"/>
        <v>724186093</v>
      </c>
      <c r="AC16">
        <f t="shared" si="3"/>
        <v>89905744</v>
      </c>
      <c r="AD16">
        <f t="shared" si="4"/>
        <v>296513112</v>
      </c>
      <c r="AE16">
        <f t="shared" si="5"/>
        <v>82199127</v>
      </c>
    </row>
    <row r="17" spans="1:31" x14ac:dyDescent="0.4">
      <c r="A17" s="1" t="s">
        <v>40</v>
      </c>
      <c r="B17">
        <v>5166586</v>
      </c>
      <c r="C17">
        <v>357629049</v>
      </c>
      <c r="D17">
        <v>2329632</v>
      </c>
      <c r="E17">
        <v>2146480</v>
      </c>
      <c r="F17">
        <v>292622282</v>
      </c>
      <c r="G17">
        <v>10213158</v>
      </c>
      <c r="H17">
        <v>28816484</v>
      </c>
      <c r="I17">
        <v>6292643</v>
      </c>
      <c r="J17">
        <v>0</v>
      </c>
      <c r="K17">
        <v>72771857</v>
      </c>
      <c r="L17">
        <v>6077969</v>
      </c>
      <c r="M17">
        <v>19025786</v>
      </c>
      <c r="N17">
        <v>1073594</v>
      </c>
      <c r="O17">
        <v>0</v>
      </c>
      <c r="P17">
        <v>76817538</v>
      </c>
      <c r="Q17">
        <v>639744354</v>
      </c>
      <c r="R17">
        <v>358426907</v>
      </c>
      <c r="S17">
        <v>3051733</v>
      </c>
      <c r="T17">
        <v>487021564</v>
      </c>
      <c r="U17">
        <v>302774444</v>
      </c>
      <c r="V17">
        <v>2010667</v>
      </c>
      <c r="W17">
        <v>414537415</v>
      </c>
      <c r="X17">
        <v>156890803</v>
      </c>
      <c r="Y17">
        <v>124961</v>
      </c>
      <c r="Z17">
        <f t="shared" si="0"/>
        <v>571553179</v>
      </c>
      <c r="AA17">
        <f t="shared" si="1"/>
        <v>791806675</v>
      </c>
      <c r="AB17">
        <f t="shared" si="2"/>
        <v>1001222994</v>
      </c>
      <c r="AC17">
        <f t="shared" si="3"/>
        <v>102994887</v>
      </c>
      <c r="AD17">
        <f t="shared" si="4"/>
        <v>118094142</v>
      </c>
      <c r="AE17">
        <f t="shared" si="5"/>
        <v>659894029</v>
      </c>
    </row>
    <row r="18" spans="1:31" x14ac:dyDescent="0.4">
      <c r="A18" s="1" t="s">
        <v>41</v>
      </c>
      <c r="B18">
        <v>7352078</v>
      </c>
      <c r="C18">
        <v>24715750</v>
      </c>
      <c r="D18">
        <v>0</v>
      </c>
      <c r="E18">
        <v>2001199</v>
      </c>
      <c r="F18">
        <v>45147835</v>
      </c>
      <c r="G18">
        <v>6337834</v>
      </c>
      <c r="H18">
        <v>51898061</v>
      </c>
      <c r="I18">
        <v>0</v>
      </c>
      <c r="J18">
        <v>408897</v>
      </c>
      <c r="K18">
        <v>39908951</v>
      </c>
      <c r="L18">
        <v>19709932</v>
      </c>
      <c r="M18">
        <v>9155764</v>
      </c>
      <c r="N18">
        <v>0</v>
      </c>
      <c r="O18">
        <v>72635</v>
      </c>
      <c r="P18">
        <v>20482302</v>
      </c>
      <c r="Q18">
        <v>501860781</v>
      </c>
      <c r="R18">
        <v>197915279</v>
      </c>
      <c r="S18">
        <v>2677143</v>
      </c>
      <c r="T18">
        <v>438161037</v>
      </c>
      <c r="U18">
        <v>164055458</v>
      </c>
      <c r="V18">
        <v>4722873</v>
      </c>
      <c r="W18">
        <v>388262724</v>
      </c>
      <c r="X18">
        <v>113351741</v>
      </c>
      <c r="Y18">
        <v>101077</v>
      </c>
      <c r="Z18">
        <f t="shared" si="0"/>
        <v>501715542</v>
      </c>
      <c r="AA18">
        <f t="shared" si="1"/>
        <v>606939368</v>
      </c>
      <c r="AB18">
        <f t="shared" si="2"/>
        <v>702453203</v>
      </c>
      <c r="AC18">
        <f t="shared" si="3"/>
        <v>49420633</v>
      </c>
      <c r="AD18">
        <f t="shared" si="4"/>
        <v>98553743</v>
      </c>
      <c r="AE18">
        <f t="shared" si="5"/>
        <v>79216862</v>
      </c>
    </row>
    <row r="19" spans="1:31" x14ac:dyDescent="0.4">
      <c r="A19" s="1" t="s">
        <v>42</v>
      </c>
      <c r="B19">
        <v>9833045</v>
      </c>
      <c r="C19">
        <v>19143727</v>
      </c>
      <c r="D19">
        <v>0</v>
      </c>
      <c r="E19">
        <v>77800</v>
      </c>
      <c r="F19">
        <v>36508620</v>
      </c>
      <c r="G19">
        <v>16759256</v>
      </c>
      <c r="H19">
        <v>13710976</v>
      </c>
      <c r="I19">
        <v>0</v>
      </c>
      <c r="J19">
        <v>0</v>
      </c>
      <c r="K19">
        <v>36772984</v>
      </c>
      <c r="L19">
        <v>13454305</v>
      </c>
      <c r="M19">
        <v>61624622</v>
      </c>
      <c r="N19">
        <v>0</v>
      </c>
      <c r="O19">
        <v>0</v>
      </c>
      <c r="P19">
        <v>56923100</v>
      </c>
      <c r="Q19">
        <v>483061642</v>
      </c>
      <c r="R19">
        <v>299661211</v>
      </c>
      <c r="S19">
        <v>2233570</v>
      </c>
      <c r="T19">
        <v>425848961</v>
      </c>
      <c r="U19">
        <v>142016653</v>
      </c>
      <c r="V19">
        <v>1330973</v>
      </c>
      <c r="W19">
        <v>386040238</v>
      </c>
      <c r="X19">
        <v>154538329</v>
      </c>
      <c r="Y19">
        <v>614257</v>
      </c>
      <c r="Z19">
        <f t="shared" si="0"/>
        <v>541192824</v>
      </c>
      <c r="AA19">
        <f t="shared" si="1"/>
        <v>569196587</v>
      </c>
      <c r="AB19">
        <f t="shared" si="2"/>
        <v>784956423</v>
      </c>
      <c r="AC19">
        <f t="shared" si="3"/>
        <v>132002027</v>
      </c>
      <c r="AD19">
        <f t="shared" si="4"/>
        <v>67243216</v>
      </c>
      <c r="AE19">
        <f t="shared" si="5"/>
        <v>65563192</v>
      </c>
    </row>
    <row r="20" spans="1:31" x14ac:dyDescent="0.4">
      <c r="A20" s="1" t="s">
        <v>43</v>
      </c>
      <c r="B20">
        <v>266341</v>
      </c>
      <c r="C20">
        <v>4224380</v>
      </c>
      <c r="D20">
        <v>30705687</v>
      </c>
      <c r="E20">
        <v>0</v>
      </c>
      <c r="F20">
        <v>1535</v>
      </c>
      <c r="G20">
        <v>14220000</v>
      </c>
      <c r="H20">
        <v>5384000</v>
      </c>
      <c r="I20">
        <v>0</v>
      </c>
      <c r="J20">
        <v>0</v>
      </c>
      <c r="K20">
        <v>18290000</v>
      </c>
      <c r="L20">
        <v>10637526</v>
      </c>
      <c r="M20">
        <v>2635734</v>
      </c>
      <c r="N20">
        <v>0</v>
      </c>
      <c r="O20">
        <v>0</v>
      </c>
      <c r="P20">
        <v>8671896</v>
      </c>
      <c r="Q20">
        <v>709005946</v>
      </c>
      <c r="R20">
        <v>4630142</v>
      </c>
      <c r="S20">
        <v>1591659</v>
      </c>
      <c r="T20">
        <v>858920000</v>
      </c>
      <c r="U20">
        <v>235828000</v>
      </c>
      <c r="V20">
        <v>827000</v>
      </c>
      <c r="W20">
        <v>772296621</v>
      </c>
      <c r="X20">
        <v>721380157</v>
      </c>
      <c r="Y20">
        <v>55761</v>
      </c>
      <c r="Z20">
        <f t="shared" si="0"/>
        <v>1493732539</v>
      </c>
      <c r="AA20">
        <f t="shared" si="1"/>
        <v>1095575000</v>
      </c>
      <c r="AB20">
        <f t="shared" si="2"/>
        <v>715227747</v>
      </c>
      <c r="AC20">
        <f t="shared" si="3"/>
        <v>21945156</v>
      </c>
      <c r="AD20">
        <f t="shared" si="4"/>
        <v>37894000</v>
      </c>
      <c r="AE20">
        <f t="shared" si="5"/>
        <v>35197943</v>
      </c>
    </row>
    <row r="21" spans="1:31" x14ac:dyDescent="0.4">
      <c r="A21" s="1" t="s">
        <v>44</v>
      </c>
      <c r="B21">
        <v>10590000</v>
      </c>
      <c r="C21">
        <v>12147000</v>
      </c>
      <c r="D21">
        <v>0</v>
      </c>
      <c r="E21">
        <v>0</v>
      </c>
      <c r="F21">
        <v>10918000</v>
      </c>
      <c r="G21">
        <v>7368000</v>
      </c>
      <c r="H21">
        <v>9975000</v>
      </c>
      <c r="I21">
        <v>0</v>
      </c>
      <c r="J21">
        <v>0</v>
      </c>
      <c r="K21">
        <v>9509000</v>
      </c>
      <c r="L21">
        <v>13022000</v>
      </c>
      <c r="M21">
        <v>4332000</v>
      </c>
      <c r="N21">
        <v>0</v>
      </c>
      <c r="O21">
        <v>0</v>
      </c>
      <c r="P21">
        <v>28686000</v>
      </c>
      <c r="Q21">
        <v>1248999000</v>
      </c>
      <c r="R21">
        <v>84450326</v>
      </c>
      <c r="S21">
        <v>699465</v>
      </c>
      <c r="T21">
        <v>12226006000</v>
      </c>
      <c r="U21">
        <v>3425000</v>
      </c>
      <c r="V21">
        <v>1129000</v>
      </c>
      <c r="W21">
        <v>1065600000</v>
      </c>
      <c r="X21">
        <v>62853000</v>
      </c>
      <c r="Y21">
        <v>656000</v>
      </c>
      <c r="Z21">
        <f t="shared" si="0"/>
        <v>1129109000</v>
      </c>
      <c r="AA21">
        <f t="shared" si="1"/>
        <v>12230560000</v>
      </c>
      <c r="AB21">
        <f t="shared" si="2"/>
        <v>1334148791</v>
      </c>
      <c r="AC21">
        <f t="shared" si="3"/>
        <v>46040000</v>
      </c>
      <c r="AD21">
        <f t="shared" si="4"/>
        <v>26852000</v>
      </c>
      <c r="AE21">
        <f t="shared" si="5"/>
        <v>33655000</v>
      </c>
    </row>
    <row r="22" spans="1:31" x14ac:dyDescent="0.4">
      <c r="A22" s="1" t="s">
        <v>45</v>
      </c>
      <c r="B22">
        <v>1189985</v>
      </c>
      <c r="C22">
        <v>0</v>
      </c>
      <c r="D22">
        <v>0</v>
      </c>
      <c r="E22">
        <v>0</v>
      </c>
      <c r="F22">
        <v>43068563</v>
      </c>
      <c r="G22">
        <v>1315565</v>
      </c>
      <c r="H22">
        <v>0</v>
      </c>
      <c r="I22">
        <v>0</v>
      </c>
      <c r="J22">
        <v>0</v>
      </c>
      <c r="K22">
        <v>40460461</v>
      </c>
      <c r="L22">
        <v>397894</v>
      </c>
      <c r="M22">
        <v>0</v>
      </c>
      <c r="N22">
        <v>0</v>
      </c>
      <c r="O22">
        <v>0</v>
      </c>
      <c r="P22">
        <v>81406098</v>
      </c>
      <c r="Q22">
        <v>2890146245</v>
      </c>
      <c r="R22">
        <v>3856264098</v>
      </c>
      <c r="S22">
        <v>0</v>
      </c>
      <c r="T22">
        <v>2812355511</v>
      </c>
      <c r="U22">
        <v>3848145346</v>
      </c>
      <c r="V22">
        <v>0</v>
      </c>
      <c r="W22">
        <v>2566365539</v>
      </c>
      <c r="X22">
        <v>3132274867</v>
      </c>
      <c r="Y22">
        <v>0</v>
      </c>
      <c r="Z22">
        <f t="shared" si="0"/>
        <v>5698640406</v>
      </c>
      <c r="AA22">
        <f t="shared" si="1"/>
        <v>6660500857</v>
      </c>
      <c r="AB22">
        <f t="shared" si="2"/>
        <v>6746410343</v>
      </c>
      <c r="AC22">
        <f t="shared" si="3"/>
        <v>81803992</v>
      </c>
      <c r="AD22">
        <f t="shared" si="4"/>
        <v>41776026</v>
      </c>
      <c r="AE22">
        <f t="shared" si="5"/>
        <v>44258548</v>
      </c>
    </row>
    <row r="23" spans="1:31" x14ac:dyDescent="0.4">
      <c r="A23" s="1" t="s">
        <v>46</v>
      </c>
      <c r="B23">
        <v>3118711</v>
      </c>
      <c r="C23">
        <v>3992983</v>
      </c>
      <c r="D23">
        <v>0</v>
      </c>
      <c r="E23">
        <v>0</v>
      </c>
      <c r="F23">
        <v>29358227</v>
      </c>
      <c r="G23">
        <v>1847950</v>
      </c>
      <c r="H23">
        <v>37670830</v>
      </c>
      <c r="I23">
        <v>0</v>
      </c>
      <c r="J23">
        <v>0</v>
      </c>
      <c r="K23">
        <v>40481220</v>
      </c>
      <c r="L23">
        <v>5273002</v>
      </c>
      <c r="M23">
        <v>27786179</v>
      </c>
      <c r="N23">
        <v>5837372</v>
      </c>
      <c r="O23">
        <v>0</v>
      </c>
      <c r="P23">
        <v>19806502</v>
      </c>
      <c r="Q23">
        <v>508374512</v>
      </c>
      <c r="R23">
        <v>547369823</v>
      </c>
      <c r="S23">
        <v>7390996</v>
      </c>
      <c r="T23">
        <v>463621650</v>
      </c>
      <c r="U23">
        <v>293471649</v>
      </c>
      <c r="V23">
        <v>5438017</v>
      </c>
      <c r="W23">
        <v>400609607</v>
      </c>
      <c r="X23">
        <v>55997385</v>
      </c>
      <c r="Y23">
        <v>1867077</v>
      </c>
      <c r="Z23">
        <f t="shared" si="0"/>
        <v>458474069</v>
      </c>
      <c r="AA23">
        <f t="shared" si="1"/>
        <v>762531316</v>
      </c>
      <c r="AB23">
        <f t="shared" si="2"/>
        <v>1063135331</v>
      </c>
      <c r="AC23">
        <f t="shared" si="3"/>
        <v>58703055</v>
      </c>
      <c r="AD23">
        <f t="shared" si="4"/>
        <v>80000000</v>
      </c>
      <c r="AE23">
        <f t="shared" si="5"/>
        <v>36469921</v>
      </c>
    </row>
    <row r="24" spans="1:31" x14ac:dyDescent="0.4">
      <c r="A24" s="1" t="s">
        <v>47</v>
      </c>
      <c r="B24">
        <v>56623572</v>
      </c>
      <c r="C24">
        <v>174966264</v>
      </c>
      <c r="D24">
        <v>8773437</v>
      </c>
      <c r="E24">
        <v>1609411</v>
      </c>
      <c r="F24">
        <v>379393027</v>
      </c>
      <c r="G24">
        <v>20214998</v>
      </c>
      <c r="H24">
        <v>60998918</v>
      </c>
      <c r="I24">
        <v>4554615</v>
      </c>
      <c r="J24">
        <v>1445354</v>
      </c>
      <c r="K24">
        <v>153062236</v>
      </c>
      <c r="L24">
        <v>44956077</v>
      </c>
      <c r="M24">
        <v>145137265</v>
      </c>
      <c r="N24">
        <v>3956019</v>
      </c>
      <c r="O24">
        <v>581920</v>
      </c>
      <c r="P24">
        <v>44956077</v>
      </c>
      <c r="Q24">
        <v>4824402880</v>
      </c>
      <c r="R24">
        <v>1962997462</v>
      </c>
      <c r="S24">
        <v>30764088</v>
      </c>
      <c r="T24">
        <v>4422822436</v>
      </c>
      <c r="U24">
        <v>2152570384</v>
      </c>
      <c r="V24">
        <v>8010831</v>
      </c>
      <c r="W24">
        <v>4651995309</v>
      </c>
      <c r="X24">
        <v>1542906463</v>
      </c>
      <c r="Y24">
        <v>4998272</v>
      </c>
      <c r="Z24">
        <f t="shared" si="0"/>
        <v>6199900044</v>
      </c>
      <c r="AA24">
        <f t="shared" si="1"/>
        <v>6583403651</v>
      </c>
      <c r="AB24">
        <f t="shared" si="2"/>
        <v>6818164430</v>
      </c>
      <c r="AC24">
        <f t="shared" si="3"/>
        <v>239587358</v>
      </c>
      <c r="AD24">
        <f t="shared" si="4"/>
        <v>240276121</v>
      </c>
      <c r="AE24">
        <f t="shared" si="5"/>
        <v>621365711</v>
      </c>
    </row>
    <row r="25" spans="1:31" x14ac:dyDescent="0.4">
      <c r="A25" s="1" t="s">
        <v>48</v>
      </c>
      <c r="B25">
        <v>14396830</v>
      </c>
      <c r="C25">
        <v>18092961</v>
      </c>
      <c r="D25">
        <v>0</v>
      </c>
      <c r="E25">
        <v>0</v>
      </c>
      <c r="F25">
        <v>359436272</v>
      </c>
      <c r="G25">
        <v>13389021</v>
      </c>
      <c r="H25">
        <v>14575090</v>
      </c>
      <c r="I25">
        <v>0</v>
      </c>
      <c r="J25">
        <v>0</v>
      </c>
      <c r="K25">
        <v>196971437</v>
      </c>
      <c r="L25">
        <v>8269264</v>
      </c>
      <c r="M25">
        <v>18145270</v>
      </c>
      <c r="N25">
        <v>0</v>
      </c>
      <c r="O25">
        <v>0</v>
      </c>
      <c r="P25">
        <v>239215482</v>
      </c>
      <c r="Q25">
        <v>5010917173</v>
      </c>
      <c r="R25">
        <v>1152536145</v>
      </c>
      <c r="S25">
        <v>684169</v>
      </c>
      <c r="T25">
        <v>4739997024</v>
      </c>
      <c r="U25">
        <v>954902450</v>
      </c>
      <c r="V25">
        <v>584817</v>
      </c>
      <c r="W25">
        <v>4438181163</v>
      </c>
      <c r="X25">
        <v>953325482</v>
      </c>
      <c r="Y25">
        <v>3751541</v>
      </c>
      <c r="Z25">
        <f t="shared" si="0"/>
        <v>5395258186</v>
      </c>
      <c r="AA25">
        <f t="shared" si="1"/>
        <v>5695484291</v>
      </c>
      <c r="AB25">
        <f t="shared" si="2"/>
        <v>6164137487</v>
      </c>
      <c r="AC25">
        <f t="shared" si="3"/>
        <v>265630016</v>
      </c>
      <c r="AD25">
        <f t="shared" si="4"/>
        <v>224935548</v>
      </c>
      <c r="AE25">
        <f t="shared" si="5"/>
        <v>391926063</v>
      </c>
    </row>
    <row r="26" spans="1:31" x14ac:dyDescent="0.4">
      <c r="A26" s="1" t="s">
        <v>49</v>
      </c>
      <c r="B26">
        <v>9134551</v>
      </c>
      <c r="C26">
        <v>11886804</v>
      </c>
      <c r="D26">
        <v>2358228</v>
      </c>
      <c r="E26">
        <v>0</v>
      </c>
      <c r="F26">
        <v>20188197</v>
      </c>
      <c r="G26">
        <v>19744421</v>
      </c>
      <c r="H26">
        <v>14379675</v>
      </c>
      <c r="I26">
        <v>10182479</v>
      </c>
      <c r="J26">
        <v>210183</v>
      </c>
      <c r="K26">
        <v>10361669</v>
      </c>
      <c r="L26">
        <v>28827280</v>
      </c>
      <c r="M26">
        <v>11340441</v>
      </c>
      <c r="N26">
        <v>29201240</v>
      </c>
      <c r="O26">
        <v>0</v>
      </c>
      <c r="P26">
        <v>11259266</v>
      </c>
      <c r="Q26">
        <v>1024523414</v>
      </c>
      <c r="R26">
        <v>10961380</v>
      </c>
      <c r="S26">
        <v>12868180</v>
      </c>
      <c r="T26">
        <v>1056051621</v>
      </c>
      <c r="U26">
        <v>603045879</v>
      </c>
      <c r="V26">
        <v>3106517</v>
      </c>
      <c r="W26">
        <v>780459794</v>
      </c>
      <c r="X26">
        <v>41068075</v>
      </c>
      <c r="Y26">
        <v>529875</v>
      </c>
      <c r="Z26">
        <f t="shared" si="0"/>
        <v>822057744</v>
      </c>
      <c r="AA26">
        <f t="shared" si="1"/>
        <v>1662204017</v>
      </c>
      <c r="AB26">
        <f t="shared" si="2"/>
        <v>1048352974</v>
      </c>
      <c r="AC26">
        <f t="shared" si="3"/>
        <v>80628227</v>
      </c>
      <c r="AD26">
        <f t="shared" si="4"/>
        <v>54878427</v>
      </c>
      <c r="AE26">
        <f t="shared" si="5"/>
        <v>43567780</v>
      </c>
    </row>
    <row r="27" spans="1:31" x14ac:dyDescent="0.4">
      <c r="A27" s="1" t="s">
        <v>50</v>
      </c>
      <c r="B27">
        <v>15105547</v>
      </c>
      <c r="C27">
        <v>11248612</v>
      </c>
      <c r="D27">
        <v>750000</v>
      </c>
      <c r="E27">
        <v>700000</v>
      </c>
      <c r="F27">
        <v>46015907</v>
      </c>
      <c r="G27">
        <v>6196266</v>
      </c>
      <c r="H27">
        <v>65428952</v>
      </c>
      <c r="I27">
        <v>655000</v>
      </c>
      <c r="J27">
        <v>560000</v>
      </c>
      <c r="K27">
        <v>23449962</v>
      </c>
      <c r="L27">
        <v>16419206</v>
      </c>
      <c r="M27">
        <v>45697193</v>
      </c>
      <c r="N27">
        <v>438000</v>
      </c>
      <c r="O27">
        <v>328000</v>
      </c>
      <c r="P27">
        <v>22062394</v>
      </c>
      <c r="Q27">
        <v>2994506166</v>
      </c>
      <c r="R27">
        <v>51172052</v>
      </c>
      <c r="S27">
        <v>6987077</v>
      </c>
      <c r="T27">
        <v>1902890864</v>
      </c>
      <c r="U27">
        <v>28702689</v>
      </c>
      <c r="V27">
        <v>4571267</v>
      </c>
      <c r="W27">
        <v>1183727381</v>
      </c>
      <c r="X27">
        <v>19567825</v>
      </c>
      <c r="Y27">
        <v>221726</v>
      </c>
      <c r="Z27">
        <f t="shared" si="0"/>
        <v>1203516932</v>
      </c>
      <c r="AA27">
        <f t="shared" si="1"/>
        <v>1936164820</v>
      </c>
      <c r="AB27">
        <f t="shared" si="2"/>
        <v>3052665295</v>
      </c>
      <c r="AC27">
        <f t="shared" si="3"/>
        <v>84944793</v>
      </c>
      <c r="AD27">
        <f t="shared" si="4"/>
        <v>96290180</v>
      </c>
      <c r="AE27">
        <f t="shared" si="5"/>
        <v>73820066</v>
      </c>
    </row>
    <row r="28" spans="1:31" x14ac:dyDescent="0.4">
      <c r="A28" s="1" t="s">
        <v>51</v>
      </c>
      <c r="B28">
        <v>13640668</v>
      </c>
      <c r="C28">
        <v>30788911</v>
      </c>
      <c r="D28">
        <v>2068505</v>
      </c>
      <c r="E28">
        <v>417000</v>
      </c>
      <c r="F28">
        <v>140698315</v>
      </c>
      <c r="G28">
        <v>12153591</v>
      </c>
      <c r="H28">
        <v>32075014</v>
      </c>
      <c r="I28">
        <v>60000</v>
      </c>
      <c r="J28">
        <v>0</v>
      </c>
      <c r="K28">
        <v>71899151</v>
      </c>
      <c r="L28">
        <v>17607816</v>
      </c>
      <c r="M28">
        <v>2639903</v>
      </c>
      <c r="N28">
        <v>57400</v>
      </c>
      <c r="O28">
        <v>0</v>
      </c>
      <c r="P28">
        <v>82566938</v>
      </c>
      <c r="Q28">
        <v>1290534246</v>
      </c>
      <c r="R28">
        <v>349288227</v>
      </c>
      <c r="S28">
        <v>5844059</v>
      </c>
      <c r="T28">
        <v>1111178449</v>
      </c>
      <c r="U28">
        <v>232888401</v>
      </c>
      <c r="V28">
        <v>489790</v>
      </c>
      <c r="W28">
        <v>985673292</v>
      </c>
      <c r="X28">
        <v>209712495</v>
      </c>
      <c r="Y28">
        <v>138566</v>
      </c>
      <c r="Z28">
        <f t="shared" si="0"/>
        <v>1195524353</v>
      </c>
      <c r="AA28">
        <f t="shared" si="1"/>
        <v>1344556640</v>
      </c>
      <c r="AB28">
        <f t="shared" si="2"/>
        <v>1645666532</v>
      </c>
      <c r="AC28">
        <f t="shared" si="3"/>
        <v>102872057</v>
      </c>
      <c r="AD28">
        <f t="shared" si="4"/>
        <v>116187756</v>
      </c>
      <c r="AE28">
        <f t="shared" si="5"/>
        <v>187613399</v>
      </c>
    </row>
    <row r="29" spans="1:31" x14ac:dyDescent="0.4">
      <c r="A29" s="1" t="s">
        <v>52</v>
      </c>
      <c r="B29">
        <v>196005</v>
      </c>
      <c r="C29">
        <v>0</v>
      </c>
      <c r="D29">
        <v>0</v>
      </c>
      <c r="E29">
        <v>0</v>
      </c>
      <c r="F29">
        <v>70121509</v>
      </c>
      <c r="G29">
        <v>2726369</v>
      </c>
      <c r="H29">
        <v>9180116</v>
      </c>
      <c r="I29">
        <v>0</v>
      </c>
      <c r="J29">
        <v>0</v>
      </c>
      <c r="K29">
        <v>371511274</v>
      </c>
      <c r="L29">
        <v>1352549</v>
      </c>
      <c r="M29">
        <v>14621817</v>
      </c>
      <c r="N29">
        <v>0</v>
      </c>
      <c r="O29">
        <v>0</v>
      </c>
      <c r="P29">
        <v>52197668</v>
      </c>
      <c r="Q29">
        <v>2558541428</v>
      </c>
      <c r="R29">
        <v>292316515</v>
      </c>
      <c r="S29">
        <v>26350745</v>
      </c>
      <c r="T29">
        <v>2021883680</v>
      </c>
      <c r="U29">
        <v>755062899</v>
      </c>
      <c r="V29">
        <v>3063370</v>
      </c>
      <c r="W29">
        <v>2308017985</v>
      </c>
      <c r="X29">
        <v>201683372</v>
      </c>
      <c r="Y29">
        <v>4060951</v>
      </c>
      <c r="Z29">
        <f t="shared" si="0"/>
        <v>2513762308</v>
      </c>
      <c r="AA29">
        <f t="shared" si="1"/>
        <v>2780009949</v>
      </c>
      <c r="AB29">
        <f t="shared" si="2"/>
        <v>2877208688</v>
      </c>
      <c r="AC29">
        <f t="shared" si="3"/>
        <v>68172034</v>
      </c>
      <c r="AD29">
        <f t="shared" si="4"/>
        <v>383417759</v>
      </c>
      <c r="AE29">
        <f t="shared" si="5"/>
        <v>70317514</v>
      </c>
    </row>
    <row r="30" spans="1:31" x14ac:dyDescent="0.4">
      <c r="A30" s="1" t="s">
        <v>53</v>
      </c>
      <c r="B30">
        <v>22585434</v>
      </c>
      <c r="C30">
        <v>95904636</v>
      </c>
      <c r="D30">
        <v>2317504</v>
      </c>
      <c r="E30">
        <v>180000</v>
      </c>
      <c r="F30">
        <v>50909881</v>
      </c>
      <c r="G30">
        <v>19160257</v>
      </c>
      <c r="H30">
        <v>80158137</v>
      </c>
      <c r="I30">
        <v>4329238</v>
      </c>
      <c r="J30">
        <v>24139</v>
      </c>
      <c r="K30">
        <v>592784</v>
      </c>
      <c r="L30">
        <v>67763954</v>
      </c>
      <c r="M30">
        <v>50058682</v>
      </c>
      <c r="N30">
        <v>3024100</v>
      </c>
      <c r="O30">
        <v>51360</v>
      </c>
      <c r="P30">
        <v>7127917</v>
      </c>
      <c r="Q30">
        <v>1749356459</v>
      </c>
      <c r="R30">
        <v>1020345134</v>
      </c>
      <c r="S30">
        <v>8196910</v>
      </c>
      <c r="T30">
        <v>1619386543</v>
      </c>
      <c r="U30">
        <v>602274882</v>
      </c>
      <c r="V30">
        <v>283308</v>
      </c>
      <c r="W30">
        <v>1503569125</v>
      </c>
      <c r="X30">
        <v>458831537</v>
      </c>
      <c r="Y30">
        <v>254250</v>
      </c>
      <c r="Z30">
        <f t="shared" si="0"/>
        <v>1962654912</v>
      </c>
      <c r="AA30">
        <f t="shared" si="1"/>
        <v>2221944733</v>
      </c>
      <c r="AB30">
        <f t="shared" si="2"/>
        <v>2777898503</v>
      </c>
      <c r="AC30">
        <f t="shared" si="3"/>
        <v>128026013</v>
      </c>
      <c r="AD30">
        <f t="shared" si="4"/>
        <v>104264555</v>
      </c>
      <c r="AE30">
        <f t="shared" si="5"/>
        <v>171897455</v>
      </c>
    </row>
    <row r="31" spans="1:31" x14ac:dyDescent="0.4">
      <c r="A31" s="1" t="s">
        <v>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f t="shared" si="0"/>
        <v>0</v>
      </c>
      <c r="AA31">
        <f t="shared" si="1"/>
        <v>0</v>
      </c>
      <c r="AB31">
        <f t="shared" si="2"/>
        <v>0</v>
      </c>
      <c r="AC31">
        <f t="shared" si="3"/>
        <v>0</v>
      </c>
      <c r="AD31">
        <f t="shared" si="4"/>
        <v>0</v>
      </c>
      <c r="AE31">
        <f t="shared" si="5"/>
        <v>0</v>
      </c>
    </row>
    <row r="32" spans="1:31" x14ac:dyDescent="0.4">
      <c r="A32" s="1" t="s">
        <v>55</v>
      </c>
      <c r="B32">
        <v>15273014</v>
      </c>
      <c r="C32">
        <v>13520986</v>
      </c>
      <c r="D32">
        <v>0</v>
      </c>
      <c r="E32">
        <v>0</v>
      </c>
      <c r="F32">
        <v>55710530</v>
      </c>
      <c r="G32">
        <v>14248249</v>
      </c>
      <c r="H32">
        <v>9573026</v>
      </c>
      <c r="I32">
        <v>0</v>
      </c>
      <c r="J32">
        <v>0</v>
      </c>
      <c r="K32">
        <v>70526540</v>
      </c>
      <c r="L32">
        <v>5058200</v>
      </c>
      <c r="M32">
        <v>11598319</v>
      </c>
      <c r="N32">
        <v>0</v>
      </c>
      <c r="O32">
        <v>0</v>
      </c>
      <c r="P32">
        <v>9779062</v>
      </c>
      <c r="Q32">
        <v>549319927</v>
      </c>
      <c r="R32">
        <v>253125490</v>
      </c>
      <c r="S32">
        <v>4453113</v>
      </c>
      <c r="T32">
        <v>415560017</v>
      </c>
      <c r="U32">
        <v>245936186</v>
      </c>
      <c r="V32">
        <v>3516674</v>
      </c>
      <c r="W32">
        <v>499268398</v>
      </c>
      <c r="X32">
        <v>187910998</v>
      </c>
      <c r="Y32">
        <v>1390771</v>
      </c>
      <c r="Z32">
        <f t="shared" si="0"/>
        <v>688570167</v>
      </c>
      <c r="AA32">
        <f t="shared" si="1"/>
        <v>665012877</v>
      </c>
      <c r="AB32">
        <f t="shared" si="2"/>
        <v>806898530</v>
      </c>
      <c r="AC32">
        <f t="shared" si="3"/>
        <v>26435581</v>
      </c>
      <c r="AD32">
        <f t="shared" si="4"/>
        <v>94347815</v>
      </c>
      <c r="AE32">
        <f t="shared" si="5"/>
        <v>84504530</v>
      </c>
    </row>
    <row r="33" spans="1:31" x14ac:dyDescent="0.4">
      <c r="A33" s="1" t="s">
        <v>56</v>
      </c>
      <c r="B33">
        <v>23153661</v>
      </c>
      <c r="C33">
        <v>98163014</v>
      </c>
      <c r="D33">
        <v>9019354</v>
      </c>
      <c r="E33">
        <v>11262000</v>
      </c>
      <c r="F33">
        <v>131981667</v>
      </c>
      <c r="G33">
        <v>18752682</v>
      </c>
      <c r="H33">
        <v>127448203</v>
      </c>
      <c r="I33">
        <v>0</v>
      </c>
      <c r="J33">
        <v>0</v>
      </c>
      <c r="K33">
        <v>38108817</v>
      </c>
      <c r="L33">
        <v>17176730</v>
      </c>
      <c r="M33">
        <v>82262403</v>
      </c>
      <c r="N33">
        <v>3310726</v>
      </c>
      <c r="O33">
        <v>8622584</v>
      </c>
      <c r="P33">
        <v>56171491</v>
      </c>
      <c r="Q33">
        <v>1097341000</v>
      </c>
      <c r="R33">
        <v>698964768</v>
      </c>
      <c r="S33">
        <v>13372083</v>
      </c>
      <c r="T33">
        <v>908462000</v>
      </c>
      <c r="U33">
        <v>745910773</v>
      </c>
      <c r="V33">
        <v>7027849</v>
      </c>
      <c r="W33">
        <v>885909000</v>
      </c>
      <c r="X33">
        <v>542993226</v>
      </c>
      <c r="Y33">
        <v>4728424</v>
      </c>
      <c r="Z33">
        <f t="shared" si="0"/>
        <v>1433630650</v>
      </c>
      <c r="AA33">
        <f t="shared" si="1"/>
        <v>1661400622</v>
      </c>
      <c r="AB33">
        <f t="shared" si="2"/>
        <v>1809677851</v>
      </c>
      <c r="AC33">
        <f t="shared" si="3"/>
        <v>167543934</v>
      </c>
      <c r="AD33">
        <f t="shared" si="4"/>
        <v>184309702</v>
      </c>
      <c r="AE33">
        <f t="shared" si="5"/>
        <v>273579696</v>
      </c>
    </row>
    <row r="34" spans="1:31" x14ac:dyDescent="0.4">
      <c r="A34" s="1" t="s">
        <v>57</v>
      </c>
      <c r="B34">
        <v>19682932</v>
      </c>
      <c r="C34">
        <v>15000189</v>
      </c>
      <c r="D34">
        <v>2872532</v>
      </c>
      <c r="E34">
        <v>0</v>
      </c>
      <c r="F34">
        <v>71701174</v>
      </c>
      <c r="G34">
        <v>9826130</v>
      </c>
      <c r="H34">
        <v>17665631</v>
      </c>
      <c r="I34">
        <v>0</v>
      </c>
      <c r="J34">
        <v>0</v>
      </c>
      <c r="K34">
        <v>84389572</v>
      </c>
      <c r="L34">
        <v>17276367</v>
      </c>
      <c r="M34">
        <v>12408888</v>
      </c>
      <c r="N34">
        <v>0</v>
      </c>
      <c r="O34">
        <v>0</v>
      </c>
      <c r="P34">
        <v>49433878</v>
      </c>
      <c r="Q34">
        <v>576024152</v>
      </c>
      <c r="R34">
        <v>112779319</v>
      </c>
      <c r="S34">
        <v>4370658</v>
      </c>
      <c r="T34">
        <v>546134434</v>
      </c>
      <c r="U34">
        <v>130329121</v>
      </c>
      <c r="V34">
        <v>2021873</v>
      </c>
      <c r="W34">
        <v>451716507</v>
      </c>
      <c r="X34">
        <v>288201433</v>
      </c>
      <c r="Y34">
        <v>233397</v>
      </c>
      <c r="Z34">
        <f t="shared" si="0"/>
        <v>740151337</v>
      </c>
      <c r="AA34">
        <f t="shared" si="1"/>
        <v>678485428</v>
      </c>
      <c r="AB34">
        <f t="shared" si="2"/>
        <v>693174129</v>
      </c>
      <c r="AC34">
        <f t="shared" si="3"/>
        <v>79119133</v>
      </c>
      <c r="AD34">
        <f t="shared" si="4"/>
        <v>111881333</v>
      </c>
      <c r="AE34">
        <f t="shared" si="5"/>
        <v>109256827</v>
      </c>
    </row>
    <row r="35" spans="1:31" x14ac:dyDescent="0.4">
      <c r="A35" s="1" t="s">
        <v>58</v>
      </c>
      <c r="B35">
        <v>14894019</v>
      </c>
      <c r="C35">
        <v>15464339</v>
      </c>
      <c r="D35">
        <v>13689801</v>
      </c>
      <c r="E35">
        <v>510377</v>
      </c>
      <c r="F35">
        <v>51258621</v>
      </c>
      <c r="G35">
        <v>15556016</v>
      </c>
      <c r="H35">
        <v>32671979</v>
      </c>
      <c r="I35">
        <v>51272277</v>
      </c>
      <c r="J35">
        <v>0</v>
      </c>
      <c r="K35">
        <v>9760577</v>
      </c>
      <c r="L35">
        <v>12141697</v>
      </c>
      <c r="M35">
        <v>3646917</v>
      </c>
      <c r="N35">
        <v>15754216</v>
      </c>
      <c r="O35">
        <v>0</v>
      </c>
      <c r="P35">
        <v>8734005</v>
      </c>
      <c r="Q35">
        <v>4572738277</v>
      </c>
      <c r="R35">
        <v>435699723</v>
      </c>
      <c r="S35">
        <v>5367543</v>
      </c>
      <c r="T35">
        <v>3257243652</v>
      </c>
      <c r="U35">
        <v>458585841</v>
      </c>
      <c r="V35">
        <v>4763717</v>
      </c>
      <c r="W35">
        <v>2508474588</v>
      </c>
      <c r="X35">
        <v>441944116</v>
      </c>
      <c r="Y35">
        <v>200000</v>
      </c>
      <c r="Z35">
        <f t="shared" si="0"/>
        <v>2950618704</v>
      </c>
      <c r="AA35">
        <f t="shared" si="1"/>
        <v>3720593210</v>
      </c>
      <c r="AB35">
        <f t="shared" si="2"/>
        <v>5013805543</v>
      </c>
      <c r="AC35">
        <f t="shared" si="3"/>
        <v>40276835</v>
      </c>
      <c r="AD35">
        <f t="shared" si="4"/>
        <v>109260849</v>
      </c>
      <c r="AE35">
        <f t="shared" si="5"/>
        <v>95817157</v>
      </c>
    </row>
    <row r="36" spans="1:31" x14ac:dyDescent="0.4">
      <c r="A36" s="1" t="s">
        <v>59</v>
      </c>
      <c r="B36">
        <v>446439732</v>
      </c>
      <c r="C36">
        <v>322077564</v>
      </c>
      <c r="D36">
        <v>1866061</v>
      </c>
      <c r="E36">
        <v>2737246</v>
      </c>
      <c r="F36">
        <v>275200929</v>
      </c>
      <c r="G36">
        <v>341723984</v>
      </c>
      <c r="H36">
        <v>265608758</v>
      </c>
      <c r="I36">
        <v>889381</v>
      </c>
      <c r="J36">
        <v>0</v>
      </c>
      <c r="K36">
        <v>226938232</v>
      </c>
      <c r="L36">
        <v>31434945</v>
      </c>
      <c r="M36">
        <v>178906415</v>
      </c>
      <c r="N36">
        <v>926421</v>
      </c>
      <c r="O36">
        <v>0</v>
      </c>
      <c r="P36">
        <v>151202622</v>
      </c>
      <c r="Q36">
        <v>7310619278</v>
      </c>
      <c r="R36">
        <v>3129263091</v>
      </c>
      <c r="S36">
        <v>28441385</v>
      </c>
      <c r="T36">
        <v>10393472688</v>
      </c>
      <c r="U36">
        <v>2932790313</v>
      </c>
      <c r="V36">
        <v>7470928</v>
      </c>
      <c r="W36">
        <v>8052731159</v>
      </c>
      <c r="X36">
        <v>2178649849</v>
      </c>
      <c r="Y36">
        <v>1602729</v>
      </c>
      <c r="Z36">
        <f t="shared" si="0"/>
        <v>10232983737</v>
      </c>
      <c r="AA36">
        <f t="shared" si="1"/>
        <v>13333733929</v>
      </c>
      <c r="AB36">
        <f t="shared" si="2"/>
        <v>10468323754</v>
      </c>
      <c r="AC36">
        <f t="shared" si="3"/>
        <v>362470403</v>
      </c>
      <c r="AD36">
        <f t="shared" si="4"/>
        <v>835160355</v>
      </c>
      <c r="AE36">
        <f t="shared" si="5"/>
        <v>1048321532</v>
      </c>
    </row>
    <row r="37" spans="1:31" x14ac:dyDescent="0.4">
      <c r="A37" s="1" t="s">
        <v>60</v>
      </c>
      <c r="B37">
        <v>78259141</v>
      </c>
      <c r="C37">
        <v>112993438</v>
      </c>
      <c r="D37">
        <v>159291068</v>
      </c>
      <c r="E37">
        <v>0</v>
      </c>
      <c r="F37">
        <v>188703097</v>
      </c>
      <c r="G37">
        <v>102482928</v>
      </c>
      <c r="H37">
        <v>221351896</v>
      </c>
      <c r="I37">
        <v>14723239</v>
      </c>
      <c r="J37">
        <v>0</v>
      </c>
      <c r="K37">
        <v>46562165</v>
      </c>
      <c r="L37">
        <v>29996240</v>
      </c>
      <c r="M37">
        <v>121598557</v>
      </c>
      <c r="N37">
        <v>10746997</v>
      </c>
      <c r="O37">
        <v>0</v>
      </c>
      <c r="P37">
        <v>16086197</v>
      </c>
      <c r="Q37">
        <v>5397313255</v>
      </c>
      <c r="R37">
        <v>990197486</v>
      </c>
      <c r="S37">
        <v>26135808</v>
      </c>
      <c r="T37">
        <v>1717563898</v>
      </c>
      <c r="U37">
        <v>766091697</v>
      </c>
      <c r="V37">
        <v>13300000</v>
      </c>
      <c r="W37">
        <v>1806287335</v>
      </c>
      <c r="X37">
        <v>65380826</v>
      </c>
      <c r="Y37">
        <v>334892</v>
      </c>
      <c r="Z37">
        <f t="shared" si="0"/>
        <v>1872003053</v>
      </c>
      <c r="AA37">
        <f t="shared" si="1"/>
        <v>2496955595</v>
      </c>
      <c r="AB37">
        <f t="shared" si="2"/>
        <v>6413646549</v>
      </c>
      <c r="AC37">
        <f t="shared" si="3"/>
        <v>178427991</v>
      </c>
      <c r="AD37">
        <f t="shared" si="4"/>
        <v>385120228</v>
      </c>
      <c r="AE37">
        <f t="shared" si="5"/>
        <v>539246744</v>
      </c>
    </row>
    <row r="38" spans="1:31" x14ac:dyDescent="0.4">
      <c r="A38" s="1" t="s">
        <v>61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f t="shared" si="0"/>
        <v>0</v>
      </c>
      <c r="AA38">
        <f t="shared" si="1"/>
        <v>0</v>
      </c>
      <c r="AB38">
        <f t="shared" si="2"/>
        <v>0</v>
      </c>
      <c r="AC38">
        <f t="shared" si="3"/>
        <v>0</v>
      </c>
      <c r="AD38">
        <f t="shared" si="4"/>
        <v>0</v>
      </c>
      <c r="AE38">
        <f t="shared" si="5"/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271C-1AD1-4FE1-A8B8-CC853ED97995}">
  <dimension ref="A1:AE16"/>
  <sheetViews>
    <sheetView topLeftCell="Y1" workbookViewId="0">
      <selection activeCell="Z1" sqref="Z1:AE2"/>
    </sheetView>
  </sheetViews>
  <sheetFormatPr defaultRowHeight="14.6" x14ac:dyDescent="0.4"/>
  <cols>
    <col min="1" max="1" width="46.15234375" bestFit="1" customWidth="1"/>
    <col min="2" max="2" width="17.15234375" bestFit="1" customWidth="1"/>
    <col min="3" max="3" width="38.84375" bestFit="1" customWidth="1"/>
    <col min="4" max="4" width="31.15234375" bestFit="1" customWidth="1"/>
    <col min="5" max="5" width="17.53515625" bestFit="1" customWidth="1"/>
    <col min="6" max="6" width="51.4609375" bestFit="1" customWidth="1"/>
    <col min="7" max="7" width="17.15234375" bestFit="1" customWidth="1"/>
    <col min="8" max="8" width="38.84375" bestFit="1" customWidth="1"/>
    <col min="9" max="9" width="31.15234375" bestFit="1" customWidth="1"/>
    <col min="10" max="10" width="17.53515625" bestFit="1" customWidth="1"/>
    <col min="11" max="11" width="51.4609375" bestFit="1" customWidth="1"/>
    <col min="12" max="12" width="17.15234375" bestFit="1" customWidth="1"/>
    <col min="13" max="13" width="38.84375" bestFit="1" customWidth="1"/>
    <col min="14" max="14" width="31.15234375" bestFit="1" customWidth="1"/>
    <col min="15" max="15" width="17.53515625" bestFit="1" customWidth="1"/>
    <col min="16" max="16" width="51.4609375" bestFit="1" customWidth="1"/>
    <col min="17" max="17" width="17.765625" bestFit="1" customWidth="1"/>
    <col min="18" max="18" width="80.61328125" bestFit="1" customWidth="1"/>
    <col min="19" max="19" width="40.69140625" bestFit="1" customWidth="1"/>
    <col min="20" max="20" width="17.765625" bestFit="1" customWidth="1"/>
    <col min="21" max="21" width="80.61328125" bestFit="1" customWidth="1"/>
    <col min="22" max="22" width="40.69140625" bestFit="1" customWidth="1"/>
    <col min="23" max="23" width="17.765625" bestFit="1" customWidth="1"/>
    <col min="24" max="24" width="80.61328125" bestFit="1" customWidth="1"/>
    <col min="25" max="25" width="40.6914062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</row>
    <row r="2" spans="1:31" x14ac:dyDescent="0.4">
      <c r="A2" s="1" t="s">
        <v>62</v>
      </c>
      <c r="B2">
        <v>32443988</v>
      </c>
      <c r="C2">
        <v>7755369</v>
      </c>
      <c r="D2">
        <v>417499</v>
      </c>
      <c r="E2">
        <v>48008322</v>
      </c>
      <c r="F2">
        <v>3515257</v>
      </c>
      <c r="G2">
        <v>16620026</v>
      </c>
      <c r="H2">
        <v>17948008</v>
      </c>
      <c r="I2">
        <v>4804264</v>
      </c>
      <c r="J2">
        <v>0</v>
      </c>
      <c r="K2">
        <v>68372779</v>
      </c>
      <c r="L2">
        <v>16063553</v>
      </c>
      <c r="M2">
        <v>14353031</v>
      </c>
      <c r="N2">
        <v>953291</v>
      </c>
      <c r="O2">
        <v>0</v>
      </c>
      <c r="P2">
        <v>35283740</v>
      </c>
      <c r="Q2">
        <v>28508366</v>
      </c>
      <c r="R2">
        <v>270738350</v>
      </c>
      <c r="S2">
        <v>2045994</v>
      </c>
      <c r="T2">
        <v>308211604</v>
      </c>
      <c r="U2">
        <v>261275793</v>
      </c>
      <c r="V2">
        <v>3875372</v>
      </c>
      <c r="W2">
        <v>234986459</v>
      </c>
      <c r="X2">
        <v>206099666</v>
      </c>
      <c r="Y2">
        <v>3131108</v>
      </c>
      <c r="Z2">
        <f t="shared" ref="Z2:Z16" si="0">SUM($W2,$X2,$Y2)</f>
        <v>444217233</v>
      </c>
      <c r="AA2">
        <f t="shared" ref="AA2:AA16" si="1">SUM($T2,$U2,$V2)</f>
        <v>573362769</v>
      </c>
      <c r="AB2">
        <f t="shared" ref="AB2:AB16" si="2">SUM($Q2,$R2,$S2)</f>
        <v>301292710</v>
      </c>
      <c r="AC2">
        <f t="shared" ref="AC2:AC16" si="3">SUM($L2,$M2,$N2, $O2, $P2)</f>
        <v>66653615</v>
      </c>
      <c r="AD2">
        <f t="shared" ref="AD2:AD16" si="4">SUM($G2,$H2,$I2, $J2, $K2)</f>
        <v>107745077</v>
      </c>
      <c r="AE2">
        <f t="shared" ref="AE2:AE16" si="5">SUM($B2,$C2,$D2, $E2, $F2)</f>
        <v>92140435</v>
      </c>
    </row>
    <row r="3" spans="1:31" x14ac:dyDescent="0.4">
      <c r="A3" s="1" t="s">
        <v>63</v>
      </c>
      <c r="B3">
        <v>16149</v>
      </c>
      <c r="C3">
        <v>88500</v>
      </c>
      <c r="D3">
        <v>0</v>
      </c>
      <c r="E3">
        <v>0</v>
      </c>
      <c r="F3">
        <v>493607</v>
      </c>
      <c r="G3">
        <v>0</v>
      </c>
      <c r="H3">
        <v>0</v>
      </c>
      <c r="I3">
        <v>0</v>
      </c>
      <c r="J3">
        <v>0</v>
      </c>
      <c r="K3">
        <v>14685537</v>
      </c>
      <c r="L3">
        <v>0</v>
      </c>
      <c r="M3">
        <v>415391</v>
      </c>
      <c r="N3">
        <v>0</v>
      </c>
      <c r="O3">
        <v>0</v>
      </c>
      <c r="P3">
        <v>949187</v>
      </c>
      <c r="Q3">
        <v>43619029</v>
      </c>
      <c r="R3">
        <v>96947263</v>
      </c>
      <c r="S3">
        <v>0</v>
      </c>
      <c r="T3">
        <v>39977295</v>
      </c>
      <c r="U3">
        <v>74874265</v>
      </c>
      <c r="V3">
        <v>0</v>
      </c>
      <c r="W3">
        <v>24136665</v>
      </c>
      <c r="X3">
        <v>13497689</v>
      </c>
      <c r="Y3">
        <v>484026</v>
      </c>
      <c r="Z3">
        <f t="shared" si="0"/>
        <v>38118380</v>
      </c>
      <c r="AA3">
        <f t="shared" si="1"/>
        <v>114851560</v>
      </c>
      <c r="AB3">
        <f t="shared" si="2"/>
        <v>140566292</v>
      </c>
      <c r="AC3">
        <f t="shared" si="3"/>
        <v>1364578</v>
      </c>
      <c r="AD3">
        <f t="shared" si="4"/>
        <v>14685537</v>
      </c>
      <c r="AE3">
        <f t="shared" si="5"/>
        <v>598256</v>
      </c>
    </row>
    <row r="4" spans="1:31" x14ac:dyDescent="0.4">
      <c r="A4" s="1" t="s">
        <v>64</v>
      </c>
      <c r="B4">
        <v>3625608</v>
      </c>
      <c r="C4">
        <v>49110981</v>
      </c>
      <c r="D4">
        <v>27343607</v>
      </c>
      <c r="E4">
        <v>0</v>
      </c>
      <c r="F4">
        <v>1593925</v>
      </c>
      <c r="G4">
        <v>3105146</v>
      </c>
      <c r="H4">
        <v>31705713</v>
      </c>
      <c r="I4">
        <v>14181275</v>
      </c>
      <c r="J4">
        <v>410235</v>
      </c>
      <c r="K4">
        <v>21028795</v>
      </c>
      <c r="L4">
        <v>2698153</v>
      </c>
      <c r="M4">
        <v>19034856</v>
      </c>
      <c r="N4">
        <v>4437909</v>
      </c>
      <c r="O4">
        <v>591704</v>
      </c>
      <c r="P4">
        <v>11612173</v>
      </c>
      <c r="Q4">
        <v>99073279</v>
      </c>
      <c r="R4">
        <v>126689468</v>
      </c>
      <c r="S4">
        <v>5562840</v>
      </c>
      <c r="T4">
        <v>84721804</v>
      </c>
      <c r="U4">
        <v>26466096</v>
      </c>
      <c r="V4">
        <v>666566</v>
      </c>
      <c r="W4">
        <v>65682989</v>
      </c>
      <c r="X4">
        <v>11048975</v>
      </c>
      <c r="Y4">
        <v>80385</v>
      </c>
      <c r="Z4">
        <f t="shared" si="0"/>
        <v>76812349</v>
      </c>
      <c r="AA4">
        <f t="shared" si="1"/>
        <v>111854466</v>
      </c>
      <c r="AB4">
        <f t="shared" si="2"/>
        <v>231325587</v>
      </c>
      <c r="AC4">
        <f t="shared" si="3"/>
        <v>38374795</v>
      </c>
      <c r="AD4">
        <f t="shared" si="4"/>
        <v>70431164</v>
      </c>
      <c r="AE4">
        <f t="shared" si="5"/>
        <v>81674121</v>
      </c>
    </row>
    <row r="5" spans="1:31" x14ac:dyDescent="0.4">
      <c r="A5" s="1" t="s">
        <v>65</v>
      </c>
      <c r="B5">
        <v>2148844</v>
      </c>
      <c r="C5">
        <v>3006205</v>
      </c>
      <c r="D5">
        <v>0</v>
      </c>
      <c r="E5">
        <v>0</v>
      </c>
      <c r="F5">
        <v>3561696</v>
      </c>
      <c r="G5">
        <v>901670</v>
      </c>
      <c r="H5">
        <v>1932144</v>
      </c>
      <c r="I5">
        <v>0</v>
      </c>
      <c r="J5">
        <v>0</v>
      </c>
      <c r="K5">
        <v>1913062</v>
      </c>
      <c r="L5">
        <v>25637</v>
      </c>
      <c r="M5">
        <v>616536</v>
      </c>
      <c r="N5">
        <v>0</v>
      </c>
      <c r="O5">
        <v>0</v>
      </c>
      <c r="P5">
        <v>355596</v>
      </c>
      <c r="Q5">
        <v>153321982</v>
      </c>
      <c r="R5">
        <v>36107526</v>
      </c>
      <c r="S5">
        <v>0</v>
      </c>
      <c r="T5">
        <v>136691031</v>
      </c>
      <c r="U5">
        <v>13163737</v>
      </c>
      <c r="V5">
        <v>958819</v>
      </c>
      <c r="W5">
        <v>117848083</v>
      </c>
      <c r="X5">
        <v>9369613</v>
      </c>
      <c r="Y5">
        <v>0</v>
      </c>
      <c r="Z5">
        <f t="shared" si="0"/>
        <v>127217696</v>
      </c>
      <c r="AA5">
        <f t="shared" si="1"/>
        <v>150813587</v>
      </c>
      <c r="AB5">
        <f t="shared" si="2"/>
        <v>189429508</v>
      </c>
      <c r="AC5">
        <f t="shared" si="3"/>
        <v>997769</v>
      </c>
      <c r="AD5">
        <f t="shared" si="4"/>
        <v>4746876</v>
      </c>
      <c r="AE5">
        <f t="shared" si="5"/>
        <v>8716745</v>
      </c>
    </row>
    <row r="6" spans="1:31" x14ac:dyDescent="0.4">
      <c r="A6" s="1" t="s">
        <v>66</v>
      </c>
      <c r="B6">
        <v>5675</v>
      </c>
      <c r="C6">
        <v>1932858</v>
      </c>
      <c r="D6">
        <v>0</v>
      </c>
      <c r="E6">
        <v>0</v>
      </c>
      <c r="F6">
        <v>217431433</v>
      </c>
      <c r="G6">
        <v>23842</v>
      </c>
      <c r="H6">
        <v>1455886</v>
      </c>
      <c r="I6">
        <v>0</v>
      </c>
      <c r="J6">
        <v>0</v>
      </c>
      <c r="K6">
        <v>3029671</v>
      </c>
      <c r="L6">
        <v>5852</v>
      </c>
      <c r="M6">
        <v>469096</v>
      </c>
      <c r="N6">
        <v>0</v>
      </c>
      <c r="O6">
        <v>0</v>
      </c>
      <c r="P6">
        <v>0</v>
      </c>
      <c r="Q6">
        <v>65113099</v>
      </c>
      <c r="R6">
        <v>19338672</v>
      </c>
      <c r="S6">
        <v>0</v>
      </c>
      <c r="T6">
        <v>52325360</v>
      </c>
      <c r="U6">
        <v>4340226</v>
      </c>
      <c r="V6">
        <v>0</v>
      </c>
      <c r="W6">
        <v>42789050</v>
      </c>
      <c r="X6">
        <v>2276000</v>
      </c>
      <c r="Y6">
        <v>0</v>
      </c>
      <c r="Z6">
        <f t="shared" si="0"/>
        <v>45065050</v>
      </c>
      <c r="AA6">
        <f t="shared" si="1"/>
        <v>56665586</v>
      </c>
      <c r="AB6">
        <f t="shared" si="2"/>
        <v>84451771</v>
      </c>
      <c r="AC6">
        <f t="shared" si="3"/>
        <v>474948</v>
      </c>
      <c r="AD6">
        <f t="shared" si="4"/>
        <v>4509399</v>
      </c>
      <c r="AE6">
        <f t="shared" si="5"/>
        <v>219369966</v>
      </c>
    </row>
    <row r="7" spans="1:31" x14ac:dyDescent="0.4">
      <c r="A7" s="1" t="s">
        <v>67</v>
      </c>
      <c r="B7">
        <v>29415</v>
      </c>
      <c r="C7">
        <v>36374296</v>
      </c>
      <c r="D7">
        <v>463909</v>
      </c>
      <c r="E7">
        <v>0</v>
      </c>
      <c r="F7">
        <v>13386181</v>
      </c>
      <c r="G7">
        <v>270311</v>
      </c>
      <c r="H7">
        <v>123173</v>
      </c>
      <c r="I7">
        <v>1187200</v>
      </c>
      <c r="J7">
        <v>0</v>
      </c>
      <c r="K7">
        <v>50999</v>
      </c>
      <c r="L7">
        <v>94760</v>
      </c>
      <c r="M7">
        <v>109480</v>
      </c>
      <c r="N7">
        <v>247856</v>
      </c>
      <c r="O7">
        <v>0</v>
      </c>
      <c r="P7">
        <v>372020</v>
      </c>
      <c r="Q7">
        <v>32174276</v>
      </c>
      <c r="R7">
        <v>47845849</v>
      </c>
      <c r="S7">
        <v>482567</v>
      </c>
      <c r="T7">
        <v>35138987</v>
      </c>
      <c r="U7">
        <v>7424629</v>
      </c>
      <c r="V7">
        <v>3166741</v>
      </c>
      <c r="W7">
        <v>28535236</v>
      </c>
      <c r="X7">
        <v>10234499</v>
      </c>
      <c r="Y7">
        <v>715523</v>
      </c>
      <c r="Z7">
        <f t="shared" si="0"/>
        <v>39485258</v>
      </c>
      <c r="AA7">
        <f t="shared" si="1"/>
        <v>45730357</v>
      </c>
      <c r="AB7">
        <f t="shared" si="2"/>
        <v>80502692</v>
      </c>
      <c r="AC7">
        <f t="shared" si="3"/>
        <v>824116</v>
      </c>
      <c r="AD7">
        <f t="shared" si="4"/>
        <v>1631683</v>
      </c>
      <c r="AE7">
        <f t="shared" si="5"/>
        <v>50253801</v>
      </c>
    </row>
    <row r="8" spans="1:31" x14ac:dyDescent="0.4">
      <c r="A8" s="1" t="s">
        <v>68</v>
      </c>
      <c r="B8">
        <v>4545617</v>
      </c>
      <c r="C8">
        <v>104338105</v>
      </c>
      <c r="D8">
        <v>0</v>
      </c>
      <c r="E8">
        <v>0</v>
      </c>
      <c r="F8">
        <v>18514395</v>
      </c>
      <c r="G8">
        <v>9895645</v>
      </c>
      <c r="H8">
        <v>77469835</v>
      </c>
      <c r="I8">
        <v>0</v>
      </c>
      <c r="J8">
        <v>0</v>
      </c>
      <c r="K8">
        <v>16251041</v>
      </c>
      <c r="L8">
        <v>9987575</v>
      </c>
      <c r="M8">
        <v>33646154</v>
      </c>
      <c r="N8">
        <v>0</v>
      </c>
      <c r="O8">
        <v>0</v>
      </c>
      <c r="P8">
        <v>7629250</v>
      </c>
      <c r="Q8">
        <v>230526981</v>
      </c>
      <c r="R8">
        <v>133611028</v>
      </c>
      <c r="S8">
        <v>1919365</v>
      </c>
      <c r="T8">
        <v>202148835</v>
      </c>
      <c r="U8">
        <v>146406078</v>
      </c>
      <c r="V8">
        <v>2499524</v>
      </c>
      <c r="W8">
        <v>162262000</v>
      </c>
      <c r="X8">
        <v>103200000</v>
      </c>
      <c r="Y8">
        <v>380199</v>
      </c>
      <c r="Z8">
        <f t="shared" si="0"/>
        <v>265842199</v>
      </c>
      <c r="AA8">
        <f t="shared" si="1"/>
        <v>351054437</v>
      </c>
      <c r="AB8">
        <f t="shared" si="2"/>
        <v>366057374</v>
      </c>
      <c r="AC8">
        <f t="shared" si="3"/>
        <v>51262979</v>
      </c>
      <c r="AD8">
        <f t="shared" si="4"/>
        <v>103616521</v>
      </c>
      <c r="AE8">
        <f t="shared" si="5"/>
        <v>127398117</v>
      </c>
    </row>
    <row r="9" spans="1:31" x14ac:dyDescent="0.4">
      <c r="A9" s="1" t="s">
        <v>69</v>
      </c>
      <c r="B9">
        <v>2619296</v>
      </c>
      <c r="C9">
        <v>5725862</v>
      </c>
      <c r="D9">
        <v>0</v>
      </c>
      <c r="E9">
        <v>2500000</v>
      </c>
      <c r="F9">
        <v>70073597</v>
      </c>
      <c r="G9">
        <v>166312</v>
      </c>
      <c r="H9">
        <v>2699749</v>
      </c>
      <c r="I9">
        <v>0</v>
      </c>
      <c r="J9">
        <v>1500000</v>
      </c>
      <c r="K9">
        <v>50221573</v>
      </c>
      <c r="L9">
        <v>172300</v>
      </c>
      <c r="M9">
        <v>2060216</v>
      </c>
      <c r="N9">
        <v>0</v>
      </c>
      <c r="O9">
        <v>1000000</v>
      </c>
      <c r="P9">
        <v>9047581</v>
      </c>
      <c r="Q9">
        <v>102781652</v>
      </c>
      <c r="R9">
        <v>73932308</v>
      </c>
      <c r="S9">
        <v>4291920</v>
      </c>
      <c r="T9">
        <v>71848001</v>
      </c>
      <c r="U9">
        <v>42989416</v>
      </c>
      <c r="V9">
        <v>1939770</v>
      </c>
      <c r="W9">
        <v>37754600</v>
      </c>
      <c r="X9">
        <v>18510353</v>
      </c>
      <c r="Y9">
        <v>870706</v>
      </c>
      <c r="Z9">
        <f t="shared" si="0"/>
        <v>57135659</v>
      </c>
      <c r="AA9">
        <f t="shared" si="1"/>
        <v>116777187</v>
      </c>
      <c r="AB9">
        <f t="shared" si="2"/>
        <v>181005880</v>
      </c>
      <c r="AC9">
        <f t="shared" si="3"/>
        <v>12280097</v>
      </c>
      <c r="AD9">
        <f t="shared" si="4"/>
        <v>54587634</v>
      </c>
      <c r="AE9">
        <f t="shared" si="5"/>
        <v>80918755</v>
      </c>
    </row>
    <row r="10" spans="1:31" x14ac:dyDescent="0.4">
      <c r="A10" s="1" t="s">
        <v>70</v>
      </c>
      <c r="B10">
        <v>581560</v>
      </c>
      <c r="C10">
        <v>38615667</v>
      </c>
      <c r="D10">
        <v>0</v>
      </c>
      <c r="E10">
        <v>0</v>
      </c>
      <c r="F10">
        <v>4699110</v>
      </c>
      <c r="G10">
        <v>349535</v>
      </c>
      <c r="H10">
        <v>17814775</v>
      </c>
      <c r="I10">
        <v>0</v>
      </c>
      <c r="J10">
        <v>0</v>
      </c>
      <c r="K10">
        <v>9191856</v>
      </c>
      <c r="L10">
        <v>1000424</v>
      </c>
      <c r="M10">
        <v>55119320</v>
      </c>
      <c r="N10">
        <v>0</v>
      </c>
      <c r="O10">
        <v>0</v>
      </c>
      <c r="P10">
        <v>21641418</v>
      </c>
      <c r="Q10">
        <v>129134770</v>
      </c>
      <c r="R10">
        <v>11006132</v>
      </c>
      <c r="S10">
        <v>161385</v>
      </c>
      <c r="T10">
        <v>91166570</v>
      </c>
      <c r="U10">
        <v>6067152</v>
      </c>
      <c r="V10">
        <v>94080</v>
      </c>
      <c r="W10">
        <v>55707374</v>
      </c>
      <c r="X10">
        <v>121643593</v>
      </c>
      <c r="Y10">
        <v>11120</v>
      </c>
      <c r="Z10">
        <f t="shared" si="0"/>
        <v>177362087</v>
      </c>
      <c r="AA10">
        <f t="shared" si="1"/>
        <v>97327802</v>
      </c>
      <c r="AB10">
        <f t="shared" si="2"/>
        <v>140302287</v>
      </c>
      <c r="AC10">
        <f t="shared" si="3"/>
        <v>77761162</v>
      </c>
      <c r="AD10">
        <f t="shared" si="4"/>
        <v>27356166</v>
      </c>
      <c r="AE10">
        <f t="shared" si="5"/>
        <v>43896337</v>
      </c>
    </row>
    <row r="11" spans="1:31" x14ac:dyDescent="0.4">
      <c r="A11" s="1" t="s">
        <v>71</v>
      </c>
      <c r="B11">
        <v>1164980</v>
      </c>
      <c r="C11">
        <v>11210668</v>
      </c>
      <c r="D11">
        <v>0</v>
      </c>
      <c r="E11">
        <v>0</v>
      </c>
      <c r="F11">
        <v>51737625</v>
      </c>
      <c r="G11">
        <v>478457</v>
      </c>
      <c r="H11">
        <v>12388357</v>
      </c>
      <c r="I11">
        <v>0</v>
      </c>
      <c r="J11">
        <v>0</v>
      </c>
      <c r="K11">
        <v>31953741</v>
      </c>
      <c r="L11">
        <v>615159</v>
      </c>
      <c r="M11">
        <v>13731691</v>
      </c>
      <c r="N11">
        <v>0</v>
      </c>
      <c r="O11">
        <v>0</v>
      </c>
      <c r="P11">
        <v>23929742</v>
      </c>
      <c r="Q11">
        <v>81996735</v>
      </c>
      <c r="R11">
        <v>87693357</v>
      </c>
      <c r="S11">
        <v>66037</v>
      </c>
      <c r="T11">
        <v>41922944</v>
      </c>
      <c r="U11">
        <v>66629750</v>
      </c>
      <c r="V11">
        <v>563710</v>
      </c>
      <c r="W11">
        <v>25514543</v>
      </c>
      <c r="X11">
        <v>37145818</v>
      </c>
      <c r="Y11">
        <v>0</v>
      </c>
      <c r="Z11">
        <f t="shared" si="0"/>
        <v>62660361</v>
      </c>
      <c r="AA11">
        <f t="shared" si="1"/>
        <v>109116404</v>
      </c>
      <c r="AB11">
        <f t="shared" si="2"/>
        <v>169756129</v>
      </c>
      <c r="AC11">
        <f t="shared" si="3"/>
        <v>38276592</v>
      </c>
      <c r="AD11">
        <f t="shared" si="4"/>
        <v>44820555</v>
      </c>
      <c r="AE11">
        <f t="shared" si="5"/>
        <v>64113273</v>
      </c>
    </row>
    <row r="12" spans="1:31" x14ac:dyDescent="0.4">
      <c r="A12" s="1" t="s">
        <v>72</v>
      </c>
      <c r="B12">
        <v>134969</v>
      </c>
      <c r="C12">
        <v>287992</v>
      </c>
      <c r="D12">
        <v>1024935</v>
      </c>
      <c r="E12">
        <v>0</v>
      </c>
      <c r="F12">
        <v>6661436</v>
      </c>
      <c r="G12">
        <v>121213</v>
      </c>
      <c r="H12">
        <v>3332659</v>
      </c>
      <c r="I12">
        <v>425366</v>
      </c>
      <c r="J12">
        <v>0</v>
      </c>
      <c r="K12">
        <v>19738955</v>
      </c>
      <c r="L12">
        <v>103529</v>
      </c>
      <c r="M12">
        <v>1361333</v>
      </c>
      <c r="N12">
        <v>6788</v>
      </c>
      <c r="O12">
        <v>0</v>
      </c>
      <c r="P12">
        <v>311385</v>
      </c>
      <c r="Q12">
        <v>42841970</v>
      </c>
      <c r="R12">
        <v>370049</v>
      </c>
      <c r="S12">
        <v>8496</v>
      </c>
      <c r="T12">
        <v>33148452</v>
      </c>
      <c r="U12">
        <v>146386</v>
      </c>
      <c r="V12">
        <v>0</v>
      </c>
      <c r="W12">
        <v>24880005</v>
      </c>
      <c r="X12">
        <v>73917</v>
      </c>
      <c r="Y12">
        <v>0</v>
      </c>
      <c r="Z12">
        <f t="shared" si="0"/>
        <v>24953922</v>
      </c>
      <c r="AA12">
        <f t="shared" si="1"/>
        <v>33294838</v>
      </c>
      <c r="AB12">
        <f t="shared" si="2"/>
        <v>43220515</v>
      </c>
      <c r="AC12">
        <f t="shared" si="3"/>
        <v>1783035</v>
      </c>
      <c r="AD12">
        <f t="shared" si="4"/>
        <v>23618193</v>
      </c>
      <c r="AE12">
        <f t="shared" si="5"/>
        <v>8109332</v>
      </c>
    </row>
    <row r="13" spans="1:31" x14ac:dyDescent="0.4">
      <c r="A13" s="1" t="s">
        <v>73</v>
      </c>
      <c r="B13">
        <v>3434401</v>
      </c>
      <c r="C13">
        <v>6975202</v>
      </c>
      <c r="D13">
        <v>0</v>
      </c>
      <c r="E13">
        <v>0</v>
      </c>
      <c r="F13">
        <v>7816632</v>
      </c>
      <c r="G13">
        <v>2521190</v>
      </c>
      <c r="H13">
        <v>17875273</v>
      </c>
      <c r="I13">
        <v>0</v>
      </c>
      <c r="J13">
        <v>0</v>
      </c>
      <c r="K13">
        <v>18907970</v>
      </c>
      <c r="L13">
        <v>0</v>
      </c>
      <c r="M13">
        <v>796218</v>
      </c>
      <c r="N13">
        <v>0</v>
      </c>
      <c r="O13">
        <v>0</v>
      </c>
      <c r="P13">
        <v>0</v>
      </c>
      <c r="Q13">
        <v>69413658</v>
      </c>
      <c r="R13">
        <v>38642384</v>
      </c>
      <c r="S13">
        <v>647245</v>
      </c>
      <c r="T13">
        <v>58126547</v>
      </c>
      <c r="U13">
        <v>15623674</v>
      </c>
      <c r="V13">
        <v>338431</v>
      </c>
      <c r="W13">
        <v>46633227</v>
      </c>
      <c r="X13">
        <v>6430175</v>
      </c>
      <c r="Y13">
        <v>118159</v>
      </c>
      <c r="Z13">
        <f t="shared" si="0"/>
        <v>53181561</v>
      </c>
      <c r="AA13">
        <f t="shared" si="1"/>
        <v>74088652</v>
      </c>
      <c r="AB13">
        <f t="shared" si="2"/>
        <v>108703287</v>
      </c>
      <c r="AC13">
        <f t="shared" si="3"/>
        <v>796218</v>
      </c>
      <c r="AD13">
        <f t="shared" si="4"/>
        <v>39304433</v>
      </c>
      <c r="AE13">
        <f t="shared" si="5"/>
        <v>18226235</v>
      </c>
    </row>
    <row r="14" spans="1:31" x14ac:dyDescent="0.4">
      <c r="A14" s="1" t="s">
        <v>74</v>
      </c>
      <c r="B14">
        <v>2143642</v>
      </c>
      <c r="C14">
        <v>32092</v>
      </c>
      <c r="D14">
        <v>0</v>
      </c>
      <c r="E14">
        <v>0</v>
      </c>
      <c r="F14">
        <v>8787607</v>
      </c>
      <c r="G14">
        <v>820190</v>
      </c>
      <c r="H14">
        <v>0</v>
      </c>
      <c r="I14">
        <v>0</v>
      </c>
      <c r="J14">
        <v>0</v>
      </c>
      <c r="K14">
        <v>3589404</v>
      </c>
      <c r="L14">
        <v>1759756</v>
      </c>
      <c r="M14">
        <v>0</v>
      </c>
      <c r="N14">
        <v>0</v>
      </c>
      <c r="O14">
        <v>0</v>
      </c>
      <c r="P14">
        <v>3332019</v>
      </c>
      <c r="Q14">
        <v>69969449</v>
      </c>
      <c r="R14">
        <v>597888</v>
      </c>
      <c r="S14">
        <v>60328</v>
      </c>
      <c r="T14">
        <v>50134804</v>
      </c>
      <c r="U14">
        <v>508179</v>
      </c>
      <c r="V14">
        <v>248008</v>
      </c>
      <c r="W14">
        <v>59398760</v>
      </c>
      <c r="X14">
        <v>676669</v>
      </c>
      <c r="Y14">
        <v>265978</v>
      </c>
      <c r="Z14">
        <f t="shared" si="0"/>
        <v>60341407</v>
      </c>
      <c r="AA14">
        <f t="shared" si="1"/>
        <v>50890991</v>
      </c>
      <c r="AB14">
        <f t="shared" si="2"/>
        <v>70627665</v>
      </c>
      <c r="AC14">
        <f t="shared" si="3"/>
        <v>5091775</v>
      </c>
      <c r="AD14">
        <f t="shared" si="4"/>
        <v>4409594</v>
      </c>
      <c r="AE14">
        <f t="shared" si="5"/>
        <v>10963341</v>
      </c>
    </row>
    <row r="15" spans="1:31" x14ac:dyDescent="0.4">
      <c r="A15" s="1" t="s">
        <v>75</v>
      </c>
      <c r="B15">
        <v>21890000</v>
      </c>
      <c r="C15">
        <v>20253000</v>
      </c>
      <c r="D15">
        <v>0</v>
      </c>
      <c r="E15">
        <v>0</v>
      </c>
      <c r="F15">
        <v>22112000</v>
      </c>
      <c r="G15">
        <v>18098000</v>
      </c>
      <c r="H15">
        <v>17833000</v>
      </c>
      <c r="I15">
        <v>0</v>
      </c>
      <c r="J15">
        <v>0</v>
      </c>
      <c r="K15">
        <v>18174000</v>
      </c>
      <c r="L15">
        <v>17363000</v>
      </c>
      <c r="M15">
        <v>11847000</v>
      </c>
      <c r="N15">
        <v>0</v>
      </c>
      <c r="O15">
        <v>0</v>
      </c>
      <c r="P15">
        <v>10587000</v>
      </c>
      <c r="Q15">
        <v>386948000</v>
      </c>
      <c r="R15">
        <v>129349000</v>
      </c>
      <c r="S15">
        <v>7600112</v>
      </c>
      <c r="T15">
        <v>335629000</v>
      </c>
      <c r="U15">
        <v>104629000</v>
      </c>
      <c r="V15">
        <v>5485695</v>
      </c>
      <c r="W15">
        <v>311018183</v>
      </c>
      <c r="X15">
        <v>113194000</v>
      </c>
      <c r="Y15">
        <v>3168098</v>
      </c>
      <c r="Z15">
        <f t="shared" si="0"/>
        <v>427380281</v>
      </c>
      <c r="AA15">
        <f t="shared" si="1"/>
        <v>445743695</v>
      </c>
      <c r="AB15">
        <f t="shared" si="2"/>
        <v>523897112</v>
      </c>
      <c r="AC15">
        <f t="shared" si="3"/>
        <v>39797000</v>
      </c>
      <c r="AD15">
        <f t="shared" si="4"/>
        <v>54105000</v>
      </c>
      <c r="AE15">
        <f t="shared" si="5"/>
        <v>64255000</v>
      </c>
    </row>
    <row r="16" spans="1:31" x14ac:dyDescent="0.4">
      <c r="A16" s="1" t="s">
        <v>76</v>
      </c>
      <c r="B16">
        <v>1378574</v>
      </c>
      <c r="C16">
        <v>4143833</v>
      </c>
      <c r="D16">
        <v>2333855</v>
      </c>
      <c r="E16">
        <v>0</v>
      </c>
      <c r="F16">
        <v>2525260</v>
      </c>
      <c r="G16">
        <v>105483</v>
      </c>
      <c r="H16">
        <v>13186918</v>
      </c>
      <c r="I16">
        <v>386385</v>
      </c>
      <c r="J16">
        <v>0</v>
      </c>
      <c r="K16">
        <v>0</v>
      </c>
      <c r="L16">
        <v>65022</v>
      </c>
      <c r="M16">
        <v>6326195</v>
      </c>
      <c r="N16">
        <v>4934167</v>
      </c>
      <c r="O16">
        <v>0</v>
      </c>
      <c r="P16">
        <v>0</v>
      </c>
      <c r="Q16">
        <v>67744589</v>
      </c>
      <c r="R16">
        <v>86402860</v>
      </c>
      <c r="S16">
        <v>780118</v>
      </c>
      <c r="T16">
        <v>66141336</v>
      </c>
      <c r="U16">
        <v>74470324</v>
      </c>
      <c r="V16">
        <v>1032761</v>
      </c>
      <c r="W16">
        <v>56093443</v>
      </c>
      <c r="X16">
        <v>21947020</v>
      </c>
      <c r="Y16">
        <v>30470</v>
      </c>
      <c r="Z16">
        <f t="shared" si="0"/>
        <v>78070933</v>
      </c>
      <c r="AA16">
        <f t="shared" si="1"/>
        <v>141644421</v>
      </c>
      <c r="AB16">
        <f t="shared" si="2"/>
        <v>154927567</v>
      </c>
      <c r="AC16">
        <f t="shared" si="3"/>
        <v>11325384</v>
      </c>
      <c r="AD16">
        <f t="shared" si="4"/>
        <v>13678786</v>
      </c>
      <c r="AE16">
        <f t="shared" si="5"/>
        <v>10381522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461E-231E-4234-849E-0E928B2A1726}">
  <dimension ref="A1:AE8"/>
  <sheetViews>
    <sheetView topLeftCell="X1" workbookViewId="0">
      <selection activeCell="Z1" sqref="Z1:AE2"/>
    </sheetView>
  </sheetViews>
  <sheetFormatPr defaultRowHeight="14.6" x14ac:dyDescent="0.4"/>
  <cols>
    <col min="1" max="1" width="36.765625" bestFit="1" customWidth="1"/>
    <col min="2" max="2" width="17.15234375" bestFit="1" customWidth="1"/>
    <col min="3" max="3" width="38.84375" bestFit="1" customWidth="1"/>
    <col min="4" max="4" width="31.15234375" bestFit="1" customWidth="1"/>
    <col min="5" max="5" width="17.53515625" bestFit="1" customWidth="1"/>
    <col min="6" max="6" width="51.4609375" bestFit="1" customWidth="1"/>
    <col min="7" max="7" width="17.15234375" bestFit="1" customWidth="1"/>
    <col min="8" max="8" width="38.84375" bestFit="1" customWidth="1"/>
    <col min="9" max="9" width="31.15234375" bestFit="1" customWidth="1"/>
    <col min="10" max="10" width="17.53515625" bestFit="1" customWidth="1"/>
    <col min="11" max="11" width="51.4609375" bestFit="1" customWidth="1"/>
    <col min="12" max="12" width="17.15234375" bestFit="1" customWidth="1"/>
    <col min="13" max="13" width="38.84375" bestFit="1" customWidth="1"/>
    <col min="14" max="14" width="31.15234375" bestFit="1" customWidth="1"/>
    <col min="15" max="15" width="17.53515625" bestFit="1" customWidth="1"/>
    <col min="16" max="16" width="51.4609375" bestFit="1" customWidth="1"/>
    <col min="17" max="17" width="17.765625" bestFit="1" customWidth="1"/>
    <col min="18" max="18" width="80.61328125" bestFit="1" customWidth="1"/>
    <col min="19" max="19" width="40.69140625" bestFit="1" customWidth="1"/>
    <col min="20" max="20" width="17.765625" bestFit="1" customWidth="1"/>
    <col min="21" max="21" width="80.61328125" bestFit="1" customWidth="1"/>
    <col min="22" max="22" width="40.69140625" bestFit="1" customWidth="1"/>
    <col min="23" max="23" width="17.765625" bestFit="1" customWidth="1"/>
    <col min="24" max="24" width="80.61328125" bestFit="1" customWidth="1"/>
    <col min="25" max="25" width="40.6914062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</row>
    <row r="2" spans="1:31" x14ac:dyDescent="0.4">
      <c r="A2" s="1" t="s">
        <v>77</v>
      </c>
      <c r="B2">
        <v>51447615</v>
      </c>
      <c r="C2">
        <v>790200851</v>
      </c>
      <c r="D2">
        <v>0</v>
      </c>
      <c r="E2">
        <v>0</v>
      </c>
      <c r="F2">
        <v>115946552</v>
      </c>
      <c r="G2">
        <v>7987863</v>
      </c>
      <c r="H2">
        <v>782867955</v>
      </c>
      <c r="I2">
        <v>0</v>
      </c>
      <c r="J2">
        <v>0</v>
      </c>
      <c r="K2">
        <v>38072215</v>
      </c>
      <c r="L2">
        <v>4686284</v>
      </c>
      <c r="M2">
        <v>110694864</v>
      </c>
      <c r="N2">
        <v>0</v>
      </c>
      <c r="O2">
        <v>0</v>
      </c>
      <c r="P2">
        <v>33786532</v>
      </c>
      <c r="Q2">
        <v>178096713</v>
      </c>
      <c r="R2">
        <v>247223092</v>
      </c>
      <c r="S2">
        <v>765682</v>
      </c>
      <c r="T2">
        <v>136025376</v>
      </c>
      <c r="U2">
        <v>184568682</v>
      </c>
      <c r="V2">
        <v>288427</v>
      </c>
      <c r="W2">
        <v>108992865</v>
      </c>
      <c r="X2">
        <v>116146169</v>
      </c>
      <c r="Y2">
        <v>650832</v>
      </c>
      <c r="Z2">
        <f t="shared" ref="Z2:Z8" si="0">SUM($W2,$X2,$Y2)</f>
        <v>225789866</v>
      </c>
      <c r="AA2">
        <f t="shared" ref="AA2:AA8" si="1">SUM($T2,$U2,$V2)</f>
        <v>320882485</v>
      </c>
      <c r="AB2">
        <f t="shared" ref="AB2:AB8" si="2">SUM($Q2,$R2,$S2)</f>
        <v>426085487</v>
      </c>
      <c r="AC2">
        <f t="shared" ref="AC2:AC8" si="3">SUM($L2,$M2,$N2, $O2, $P2)</f>
        <v>149167680</v>
      </c>
      <c r="AD2">
        <f t="shared" ref="AD2:AD8" si="4">SUM($G2,$H2,$I2, $J2, $K2)</f>
        <v>828928033</v>
      </c>
      <c r="AE2">
        <f t="shared" ref="AE2:AE8" si="5">SUM($B2,$C2,$D2, $E2, $F2)</f>
        <v>957595018</v>
      </c>
    </row>
    <row r="3" spans="1:31" x14ac:dyDescent="0.4">
      <c r="A3" s="1" t="s">
        <v>78</v>
      </c>
      <c r="B3">
        <v>72644901</v>
      </c>
      <c r="C3">
        <v>400243906</v>
      </c>
      <c r="D3">
        <v>53670604</v>
      </c>
      <c r="E3">
        <v>0</v>
      </c>
      <c r="F3">
        <v>154256756</v>
      </c>
      <c r="G3">
        <v>49207477</v>
      </c>
      <c r="H3">
        <v>285659387</v>
      </c>
      <c r="I3">
        <v>36073438</v>
      </c>
      <c r="J3">
        <v>0</v>
      </c>
      <c r="K3">
        <v>26719057</v>
      </c>
      <c r="L3">
        <v>63554132</v>
      </c>
      <c r="M3">
        <v>152051546</v>
      </c>
      <c r="N3">
        <v>46860663</v>
      </c>
      <c r="O3">
        <v>0</v>
      </c>
      <c r="P3">
        <v>20379817</v>
      </c>
      <c r="Q3">
        <v>749933098</v>
      </c>
      <c r="R3">
        <v>942499912</v>
      </c>
      <c r="S3">
        <v>36206287</v>
      </c>
      <c r="T3">
        <v>655919794</v>
      </c>
      <c r="U3">
        <v>910340373</v>
      </c>
      <c r="V3">
        <v>28903564</v>
      </c>
      <c r="W3">
        <v>562541121</v>
      </c>
      <c r="X3">
        <v>740533228</v>
      </c>
      <c r="Y3">
        <v>1525773</v>
      </c>
      <c r="Z3">
        <f t="shared" si="0"/>
        <v>1304600122</v>
      </c>
      <c r="AA3">
        <f t="shared" si="1"/>
        <v>1595163731</v>
      </c>
      <c r="AB3">
        <f t="shared" si="2"/>
        <v>1728639297</v>
      </c>
      <c r="AC3">
        <f t="shared" si="3"/>
        <v>282846158</v>
      </c>
      <c r="AD3">
        <f t="shared" si="4"/>
        <v>397659359</v>
      </c>
      <c r="AE3">
        <f t="shared" si="5"/>
        <v>680816167</v>
      </c>
    </row>
    <row r="4" spans="1:31" x14ac:dyDescent="0.4">
      <c r="A4" s="1" t="s">
        <v>79</v>
      </c>
      <c r="B4">
        <v>75481126</v>
      </c>
      <c r="C4">
        <v>272155095</v>
      </c>
      <c r="D4">
        <v>0</v>
      </c>
      <c r="E4">
        <v>0</v>
      </c>
      <c r="F4">
        <v>58976086</v>
      </c>
      <c r="G4">
        <v>76880672</v>
      </c>
      <c r="H4">
        <v>176673019</v>
      </c>
      <c r="I4">
        <v>0</v>
      </c>
      <c r="J4">
        <v>0</v>
      </c>
      <c r="K4">
        <v>89873747</v>
      </c>
      <c r="L4">
        <v>67843088</v>
      </c>
      <c r="M4">
        <v>94615002</v>
      </c>
      <c r="N4">
        <v>0</v>
      </c>
      <c r="O4">
        <v>0</v>
      </c>
      <c r="P4">
        <v>76563822</v>
      </c>
      <c r="Q4">
        <v>641058618</v>
      </c>
      <c r="R4">
        <v>572165505</v>
      </c>
      <c r="S4">
        <v>6718955</v>
      </c>
      <c r="T4">
        <v>586183825</v>
      </c>
      <c r="U4">
        <v>529954390</v>
      </c>
      <c r="V4">
        <v>4791144</v>
      </c>
      <c r="W4">
        <v>512356964</v>
      </c>
      <c r="X4">
        <v>407573410</v>
      </c>
      <c r="Y4">
        <v>985728</v>
      </c>
      <c r="Z4">
        <f t="shared" si="0"/>
        <v>920916102</v>
      </c>
      <c r="AA4">
        <f t="shared" si="1"/>
        <v>1120929359</v>
      </c>
      <c r="AB4">
        <f t="shared" si="2"/>
        <v>1219943078</v>
      </c>
      <c r="AC4">
        <f t="shared" si="3"/>
        <v>239021912</v>
      </c>
      <c r="AD4">
        <f t="shared" si="4"/>
        <v>343427438</v>
      </c>
      <c r="AE4">
        <f t="shared" si="5"/>
        <v>406612307</v>
      </c>
    </row>
    <row r="5" spans="1:31" x14ac:dyDescent="0.4">
      <c r="A5" s="1" t="s">
        <v>80</v>
      </c>
      <c r="B5">
        <v>59421934</v>
      </c>
      <c r="C5">
        <v>140710181</v>
      </c>
      <c r="D5">
        <v>0</v>
      </c>
      <c r="E5">
        <v>0</v>
      </c>
      <c r="F5">
        <v>37305771</v>
      </c>
      <c r="G5">
        <v>63328033</v>
      </c>
      <c r="H5">
        <v>103877663</v>
      </c>
      <c r="I5">
        <v>0</v>
      </c>
      <c r="J5">
        <v>0</v>
      </c>
      <c r="K5">
        <v>194169510</v>
      </c>
      <c r="L5">
        <v>53921359</v>
      </c>
      <c r="M5">
        <v>83470584</v>
      </c>
      <c r="N5">
        <v>0</v>
      </c>
      <c r="O5">
        <v>0</v>
      </c>
      <c r="P5">
        <v>25171892</v>
      </c>
      <c r="Q5">
        <v>588305348</v>
      </c>
      <c r="R5">
        <v>511814421</v>
      </c>
      <c r="S5">
        <v>11338463</v>
      </c>
      <c r="T5">
        <v>516423278</v>
      </c>
      <c r="U5">
        <v>411855636</v>
      </c>
      <c r="V5">
        <v>6569070</v>
      </c>
      <c r="W5">
        <v>453027864</v>
      </c>
      <c r="X5">
        <v>370605627</v>
      </c>
      <c r="Y5">
        <v>5186914</v>
      </c>
      <c r="Z5">
        <f t="shared" si="0"/>
        <v>828820405</v>
      </c>
      <c r="AA5">
        <f t="shared" si="1"/>
        <v>934847984</v>
      </c>
      <c r="AB5">
        <f t="shared" si="2"/>
        <v>1111458232</v>
      </c>
      <c r="AC5">
        <f t="shared" si="3"/>
        <v>162563835</v>
      </c>
      <c r="AD5">
        <f t="shared" si="4"/>
        <v>361375206</v>
      </c>
      <c r="AE5">
        <f t="shared" si="5"/>
        <v>237437886</v>
      </c>
    </row>
    <row r="6" spans="1:31" x14ac:dyDescent="0.4">
      <c r="A6" s="1" t="s">
        <v>81</v>
      </c>
      <c r="B6">
        <v>68395822</v>
      </c>
      <c r="C6">
        <v>282202560</v>
      </c>
      <c r="D6">
        <v>0</v>
      </c>
      <c r="E6">
        <v>0</v>
      </c>
      <c r="F6">
        <v>45716994</v>
      </c>
      <c r="G6">
        <v>68288635</v>
      </c>
      <c r="H6">
        <v>255432712</v>
      </c>
      <c r="I6">
        <v>0</v>
      </c>
      <c r="J6">
        <v>0</v>
      </c>
      <c r="K6">
        <v>53396892</v>
      </c>
      <c r="L6">
        <v>63874512</v>
      </c>
      <c r="M6">
        <v>276586059</v>
      </c>
      <c r="N6">
        <v>0</v>
      </c>
      <c r="O6">
        <v>0</v>
      </c>
      <c r="P6">
        <v>44069295</v>
      </c>
      <c r="Q6">
        <v>730067921</v>
      </c>
      <c r="R6">
        <v>660524610</v>
      </c>
      <c r="S6">
        <v>24742673</v>
      </c>
      <c r="T6">
        <v>673939924</v>
      </c>
      <c r="U6">
        <v>595698749</v>
      </c>
      <c r="V6">
        <v>834335</v>
      </c>
      <c r="W6">
        <v>638620490</v>
      </c>
      <c r="X6">
        <v>555577582</v>
      </c>
      <c r="Y6">
        <v>45710</v>
      </c>
      <c r="Z6">
        <f t="shared" si="0"/>
        <v>1194243782</v>
      </c>
      <c r="AA6">
        <f t="shared" si="1"/>
        <v>1270473008</v>
      </c>
      <c r="AB6">
        <f t="shared" si="2"/>
        <v>1415335204</v>
      </c>
      <c r="AC6">
        <f t="shared" si="3"/>
        <v>384529866</v>
      </c>
      <c r="AD6">
        <f t="shared" si="4"/>
        <v>377118239</v>
      </c>
      <c r="AE6">
        <f t="shared" si="5"/>
        <v>396315376</v>
      </c>
    </row>
    <row r="7" spans="1:31" x14ac:dyDescent="0.4">
      <c r="A7" s="1" t="s">
        <v>82</v>
      </c>
      <c r="B7">
        <v>49401423</v>
      </c>
      <c r="C7">
        <v>287375628</v>
      </c>
      <c r="D7">
        <v>0</v>
      </c>
      <c r="E7">
        <v>28081180</v>
      </c>
      <c r="F7">
        <v>108172558</v>
      </c>
      <c r="G7">
        <v>41530219</v>
      </c>
      <c r="H7">
        <v>310752213</v>
      </c>
      <c r="I7">
        <v>0</v>
      </c>
      <c r="J7">
        <v>8817860</v>
      </c>
      <c r="K7">
        <v>37463561</v>
      </c>
      <c r="L7">
        <v>22815070</v>
      </c>
      <c r="M7">
        <v>106452022</v>
      </c>
      <c r="N7">
        <v>0</v>
      </c>
      <c r="O7">
        <v>508700</v>
      </c>
      <c r="P7">
        <v>46970210</v>
      </c>
      <c r="Q7">
        <v>426967606</v>
      </c>
      <c r="R7">
        <v>611247390</v>
      </c>
      <c r="S7">
        <v>22763534</v>
      </c>
      <c r="T7">
        <v>334645150</v>
      </c>
      <c r="U7">
        <v>438114072</v>
      </c>
      <c r="V7">
        <v>15845518</v>
      </c>
      <c r="W7">
        <v>363727294</v>
      </c>
      <c r="X7">
        <v>275327695</v>
      </c>
      <c r="Y7">
        <v>461126</v>
      </c>
      <c r="Z7">
        <f t="shared" si="0"/>
        <v>639516115</v>
      </c>
      <c r="AA7">
        <f t="shared" si="1"/>
        <v>788604740</v>
      </c>
      <c r="AB7">
        <f t="shared" si="2"/>
        <v>1060978530</v>
      </c>
      <c r="AC7">
        <f t="shared" si="3"/>
        <v>176746002</v>
      </c>
      <c r="AD7">
        <f t="shared" si="4"/>
        <v>398563853</v>
      </c>
      <c r="AE7">
        <f t="shared" si="5"/>
        <v>473030789</v>
      </c>
    </row>
    <row r="8" spans="1:31" x14ac:dyDescent="0.4">
      <c r="A8" s="1" t="s">
        <v>83</v>
      </c>
      <c r="B8">
        <v>2505191</v>
      </c>
      <c r="C8">
        <v>161660170</v>
      </c>
      <c r="D8">
        <v>0</v>
      </c>
      <c r="E8">
        <v>0</v>
      </c>
      <c r="F8">
        <v>81422485</v>
      </c>
      <c r="G8">
        <v>18237994</v>
      </c>
      <c r="H8">
        <v>135213997</v>
      </c>
      <c r="I8">
        <v>0</v>
      </c>
      <c r="J8">
        <v>0</v>
      </c>
      <c r="K8">
        <v>59360164</v>
      </c>
      <c r="L8">
        <v>17590889</v>
      </c>
      <c r="M8">
        <v>221520999</v>
      </c>
      <c r="N8">
        <v>0</v>
      </c>
      <c r="O8">
        <v>0</v>
      </c>
      <c r="P8">
        <v>55634618</v>
      </c>
      <c r="Q8">
        <v>246372944</v>
      </c>
      <c r="R8">
        <v>468949284</v>
      </c>
      <c r="S8">
        <v>3989845</v>
      </c>
      <c r="T8">
        <v>219799657</v>
      </c>
      <c r="U8">
        <v>318365935</v>
      </c>
      <c r="V8">
        <v>312794</v>
      </c>
      <c r="W8">
        <v>182343288</v>
      </c>
      <c r="X8">
        <v>249276662</v>
      </c>
      <c r="Y8">
        <v>200000</v>
      </c>
      <c r="Z8">
        <f t="shared" si="0"/>
        <v>431819950</v>
      </c>
      <c r="AA8">
        <f t="shared" si="1"/>
        <v>538478386</v>
      </c>
      <c r="AB8">
        <f t="shared" si="2"/>
        <v>719312073</v>
      </c>
      <c r="AC8">
        <f t="shared" si="3"/>
        <v>294746506</v>
      </c>
      <c r="AD8">
        <f t="shared" si="4"/>
        <v>212812155</v>
      </c>
      <c r="AE8">
        <f t="shared" si="5"/>
        <v>245587846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728E-459A-4283-86B4-1CA8083D2FC5}">
  <dimension ref="A1:AE25"/>
  <sheetViews>
    <sheetView topLeftCell="Y1" workbookViewId="0">
      <selection activeCell="Z1" sqref="Z1:AE2"/>
    </sheetView>
  </sheetViews>
  <sheetFormatPr defaultRowHeight="14.6" x14ac:dyDescent="0.4"/>
  <cols>
    <col min="1" max="1" width="52.53515625" bestFit="1" customWidth="1"/>
    <col min="2" max="2" width="17.15234375" bestFit="1" customWidth="1"/>
    <col min="3" max="3" width="38.84375" bestFit="1" customWidth="1"/>
    <col min="4" max="4" width="31.15234375" bestFit="1" customWidth="1"/>
    <col min="5" max="5" width="17.53515625" bestFit="1" customWidth="1"/>
    <col min="6" max="6" width="51.4609375" bestFit="1" customWidth="1"/>
    <col min="7" max="7" width="17.15234375" bestFit="1" customWidth="1"/>
    <col min="8" max="8" width="38.84375" bestFit="1" customWidth="1"/>
    <col min="9" max="9" width="31.15234375" bestFit="1" customWidth="1"/>
    <col min="10" max="10" width="17.53515625" bestFit="1" customWidth="1"/>
    <col min="11" max="11" width="51.4609375" bestFit="1" customWidth="1"/>
    <col min="12" max="12" width="17.15234375" bestFit="1" customWidth="1"/>
    <col min="13" max="13" width="38.84375" bestFit="1" customWidth="1"/>
    <col min="14" max="14" width="31.15234375" bestFit="1" customWidth="1"/>
    <col min="15" max="15" width="17.53515625" bestFit="1" customWidth="1"/>
    <col min="16" max="16" width="51.4609375" bestFit="1" customWidth="1"/>
    <col min="17" max="17" width="17.765625" bestFit="1" customWidth="1"/>
    <col min="18" max="18" width="80.61328125" bestFit="1" customWidth="1"/>
    <col min="19" max="19" width="40.69140625" bestFit="1" customWidth="1"/>
    <col min="20" max="20" width="17.765625" bestFit="1" customWidth="1"/>
    <col min="21" max="21" width="80.61328125" bestFit="1" customWidth="1"/>
    <col min="22" max="22" width="40.69140625" bestFit="1" customWidth="1"/>
    <col min="23" max="23" width="17.765625" bestFit="1" customWidth="1"/>
    <col min="24" max="24" width="80.61328125" bestFit="1" customWidth="1"/>
    <col min="25" max="25" width="40.6914062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</row>
    <row r="2" spans="1:31" x14ac:dyDescent="0.4">
      <c r="A2" s="1" t="s">
        <v>84</v>
      </c>
      <c r="B2">
        <v>58806327</v>
      </c>
      <c r="C2">
        <v>83581192</v>
      </c>
      <c r="D2">
        <v>2198894</v>
      </c>
      <c r="E2">
        <v>26291158</v>
      </c>
      <c r="F2">
        <v>51297728</v>
      </c>
      <c r="G2">
        <v>65953715</v>
      </c>
      <c r="H2">
        <v>84957225</v>
      </c>
      <c r="I2">
        <v>19118290</v>
      </c>
      <c r="J2">
        <v>77337956</v>
      </c>
      <c r="K2">
        <v>49849095</v>
      </c>
      <c r="L2">
        <v>96036283</v>
      </c>
      <c r="M2">
        <v>73151007</v>
      </c>
      <c r="N2">
        <v>22133973</v>
      </c>
      <c r="O2">
        <v>10095880</v>
      </c>
      <c r="P2">
        <v>44266661</v>
      </c>
      <c r="Q2">
        <v>777904322</v>
      </c>
      <c r="R2">
        <v>820515583</v>
      </c>
      <c r="S2">
        <v>14004776</v>
      </c>
      <c r="T2">
        <v>581795856</v>
      </c>
      <c r="U2">
        <v>560022071</v>
      </c>
      <c r="V2">
        <v>7116896</v>
      </c>
      <c r="W2">
        <v>481787058</v>
      </c>
      <c r="X2">
        <v>489765903</v>
      </c>
      <c r="Y2">
        <v>3978935</v>
      </c>
      <c r="Z2">
        <f t="shared" ref="Z2:Z25" si="0">SUM($W2,$X2,$Y2)</f>
        <v>975531896</v>
      </c>
      <c r="AA2">
        <f t="shared" ref="AA2:AA25" si="1">SUM($T2,$U2,$V2)</f>
        <v>1148934823</v>
      </c>
      <c r="AB2">
        <f t="shared" ref="AB2:AB25" si="2">SUM($Q2,$R2,$S2)</f>
        <v>1612424681</v>
      </c>
      <c r="AC2">
        <f t="shared" ref="AC2:AC25" si="3">SUM($L2,$M2,$N2, $O2, $P2)</f>
        <v>245683804</v>
      </c>
      <c r="AD2">
        <f t="shared" ref="AD2:AD25" si="4">SUM($G2,$H2,$I2, $J2, $K2)</f>
        <v>297216281</v>
      </c>
      <c r="AE2">
        <f t="shared" ref="AE2:AE25" si="5">SUM($B2,$C2,$D2, $E2, $F2)</f>
        <v>222175299</v>
      </c>
    </row>
    <row r="3" spans="1:31" x14ac:dyDescent="0.4">
      <c r="A3" s="1" t="s">
        <v>85</v>
      </c>
      <c r="B3">
        <v>25411092</v>
      </c>
      <c r="C3">
        <v>513950483</v>
      </c>
      <c r="D3">
        <v>71825405</v>
      </c>
      <c r="E3">
        <v>0</v>
      </c>
      <c r="F3">
        <v>2255062639</v>
      </c>
      <c r="G3">
        <v>24674941</v>
      </c>
      <c r="H3">
        <v>371247590</v>
      </c>
      <c r="I3">
        <v>71129164</v>
      </c>
      <c r="J3">
        <v>0</v>
      </c>
      <c r="K3">
        <v>6374110895</v>
      </c>
      <c r="L3">
        <v>20114426</v>
      </c>
      <c r="M3">
        <v>135743724</v>
      </c>
      <c r="N3">
        <v>18859967</v>
      </c>
      <c r="O3">
        <v>0</v>
      </c>
      <c r="P3">
        <v>2488161963</v>
      </c>
      <c r="Q3">
        <v>354385567</v>
      </c>
      <c r="R3">
        <v>267955372</v>
      </c>
      <c r="S3">
        <v>35679752</v>
      </c>
      <c r="T3">
        <v>240135927</v>
      </c>
      <c r="U3">
        <v>123923177</v>
      </c>
      <c r="V3">
        <v>5139631</v>
      </c>
      <c r="W3">
        <v>223044425</v>
      </c>
      <c r="X3">
        <v>101662874</v>
      </c>
      <c r="Y3">
        <v>8000000</v>
      </c>
      <c r="Z3">
        <f t="shared" si="0"/>
        <v>332707299</v>
      </c>
      <c r="AA3">
        <f t="shared" si="1"/>
        <v>369198735</v>
      </c>
      <c r="AB3">
        <f t="shared" si="2"/>
        <v>658020691</v>
      </c>
      <c r="AC3">
        <f t="shared" si="3"/>
        <v>2662880080</v>
      </c>
      <c r="AD3">
        <f t="shared" si="4"/>
        <v>6841162590</v>
      </c>
      <c r="AE3">
        <f t="shared" si="5"/>
        <v>2866249619</v>
      </c>
    </row>
    <row r="4" spans="1:31" x14ac:dyDescent="0.4">
      <c r="A4" s="1" t="s">
        <v>86</v>
      </c>
      <c r="B4">
        <v>177105628</v>
      </c>
      <c r="C4">
        <v>2817100804</v>
      </c>
      <c r="D4">
        <v>0</v>
      </c>
      <c r="E4">
        <v>0</v>
      </c>
      <c r="F4">
        <v>96499509</v>
      </c>
      <c r="G4">
        <v>60655438</v>
      </c>
      <c r="H4">
        <v>3091659479</v>
      </c>
      <c r="I4">
        <v>82044432</v>
      </c>
      <c r="J4">
        <v>0</v>
      </c>
      <c r="K4">
        <v>173684513</v>
      </c>
      <c r="L4">
        <v>395211540</v>
      </c>
      <c r="M4">
        <v>859086724</v>
      </c>
      <c r="N4">
        <v>99980000</v>
      </c>
      <c r="O4">
        <v>0</v>
      </c>
      <c r="P4">
        <v>80795586</v>
      </c>
      <c r="Q4">
        <v>8523975101</v>
      </c>
      <c r="R4">
        <v>4688514494</v>
      </c>
      <c r="S4">
        <v>247557830</v>
      </c>
      <c r="T4">
        <v>6581612412</v>
      </c>
      <c r="U4">
        <v>3380913236</v>
      </c>
      <c r="V4">
        <v>22683371</v>
      </c>
      <c r="W4">
        <v>6070571682</v>
      </c>
      <c r="X4">
        <v>2978397843</v>
      </c>
      <c r="Y4">
        <v>9177625</v>
      </c>
      <c r="Z4">
        <f t="shared" si="0"/>
        <v>9058147150</v>
      </c>
      <c r="AA4">
        <f t="shared" si="1"/>
        <v>9985209019</v>
      </c>
      <c r="AB4">
        <f t="shared" si="2"/>
        <v>13460047425</v>
      </c>
      <c r="AC4">
        <f t="shared" si="3"/>
        <v>1435073850</v>
      </c>
      <c r="AD4">
        <f t="shared" si="4"/>
        <v>3408043862</v>
      </c>
      <c r="AE4">
        <f t="shared" si="5"/>
        <v>3090705941</v>
      </c>
    </row>
    <row r="5" spans="1:31" x14ac:dyDescent="0.4">
      <c r="A5" s="1" t="s">
        <v>87</v>
      </c>
      <c r="B5">
        <v>298830979</v>
      </c>
      <c r="C5">
        <v>4977872845</v>
      </c>
      <c r="D5">
        <v>15221031</v>
      </c>
      <c r="E5">
        <v>15922736</v>
      </c>
      <c r="F5">
        <v>854156496</v>
      </c>
      <c r="G5">
        <v>191765768</v>
      </c>
      <c r="H5">
        <v>5114315121</v>
      </c>
      <c r="I5">
        <v>35946386</v>
      </c>
      <c r="J5">
        <v>7825561</v>
      </c>
      <c r="K5">
        <v>850240751</v>
      </c>
      <c r="L5">
        <v>232093405</v>
      </c>
      <c r="M5">
        <v>4475051053</v>
      </c>
      <c r="N5">
        <v>16830244</v>
      </c>
      <c r="O5">
        <v>53944831</v>
      </c>
      <c r="P5">
        <v>1066955804</v>
      </c>
      <c r="Q5">
        <v>6770455954</v>
      </c>
      <c r="R5">
        <v>9997419009</v>
      </c>
      <c r="S5">
        <v>128805662</v>
      </c>
      <c r="T5">
        <v>5424786320</v>
      </c>
      <c r="U5">
        <v>8669739543</v>
      </c>
      <c r="V5">
        <v>151561504</v>
      </c>
      <c r="W5">
        <v>6565874098</v>
      </c>
      <c r="X5">
        <v>7557097089</v>
      </c>
      <c r="Y5">
        <v>108400586</v>
      </c>
      <c r="Z5">
        <f t="shared" si="0"/>
        <v>14231371773</v>
      </c>
      <c r="AA5">
        <f t="shared" si="1"/>
        <v>14246087367</v>
      </c>
      <c r="AB5">
        <f t="shared" si="2"/>
        <v>16896680625</v>
      </c>
      <c r="AC5">
        <f t="shared" si="3"/>
        <v>5844875337</v>
      </c>
      <c r="AD5">
        <f t="shared" si="4"/>
        <v>6200093587</v>
      </c>
      <c r="AE5">
        <f t="shared" si="5"/>
        <v>6162004087</v>
      </c>
    </row>
    <row r="6" spans="1:31" x14ac:dyDescent="0.4">
      <c r="A6" s="1" t="s">
        <v>88</v>
      </c>
      <c r="B6">
        <v>187600000</v>
      </c>
      <c r="C6">
        <v>2642131575</v>
      </c>
      <c r="D6">
        <v>5271461</v>
      </c>
      <c r="E6">
        <v>3490210</v>
      </c>
      <c r="F6">
        <v>131400000</v>
      </c>
      <c r="G6">
        <v>187521973</v>
      </c>
      <c r="H6">
        <v>2615655221</v>
      </c>
      <c r="I6">
        <v>2429151</v>
      </c>
      <c r="J6">
        <v>2124700</v>
      </c>
      <c r="K6">
        <v>2857555221</v>
      </c>
      <c r="L6">
        <v>191213021</v>
      </c>
      <c r="M6">
        <v>2374297516</v>
      </c>
      <c r="N6">
        <v>44456874</v>
      </c>
      <c r="O6">
        <v>43928631</v>
      </c>
      <c r="P6">
        <v>1476113707</v>
      </c>
      <c r="Q6">
        <v>7095220673</v>
      </c>
      <c r="R6">
        <v>3426681450</v>
      </c>
      <c r="S6">
        <v>208733379</v>
      </c>
      <c r="T6">
        <v>6929719466</v>
      </c>
      <c r="U6">
        <v>3957679475</v>
      </c>
      <c r="V6">
        <v>183435548</v>
      </c>
      <c r="W6">
        <v>3991424049</v>
      </c>
      <c r="X6">
        <v>3710748858</v>
      </c>
      <c r="Y6">
        <v>4904145</v>
      </c>
      <c r="Z6">
        <f t="shared" si="0"/>
        <v>7707077052</v>
      </c>
      <c r="AA6">
        <f t="shared" si="1"/>
        <v>11070834489</v>
      </c>
      <c r="AB6">
        <f t="shared" si="2"/>
        <v>10730635502</v>
      </c>
      <c r="AC6">
        <f t="shared" si="3"/>
        <v>4130009749</v>
      </c>
      <c r="AD6">
        <f t="shared" si="4"/>
        <v>5665286266</v>
      </c>
      <c r="AE6">
        <f t="shared" si="5"/>
        <v>2969893246</v>
      </c>
    </row>
    <row r="7" spans="1:31" x14ac:dyDescent="0.4">
      <c r="A7" s="1" t="s">
        <v>89</v>
      </c>
      <c r="B7">
        <v>49871820</v>
      </c>
      <c r="C7">
        <v>368395935</v>
      </c>
      <c r="D7">
        <v>2865058</v>
      </c>
      <c r="E7">
        <v>0</v>
      </c>
      <c r="F7">
        <v>430534684</v>
      </c>
      <c r="G7">
        <v>2030499</v>
      </c>
      <c r="H7">
        <v>66387287</v>
      </c>
      <c r="I7">
        <v>9146560</v>
      </c>
      <c r="J7">
        <v>0</v>
      </c>
      <c r="K7">
        <v>7712328</v>
      </c>
      <c r="L7">
        <v>26177635</v>
      </c>
      <c r="M7">
        <v>23039441</v>
      </c>
      <c r="N7">
        <v>9589546</v>
      </c>
      <c r="O7">
        <v>0</v>
      </c>
      <c r="P7">
        <v>12974707</v>
      </c>
      <c r="Q7">
        <v>356859562</v>
      </c>
      <c r="R7">
        <v>292806819</v>
      </c>
      <c r="S7">
        <v>5980923</v>
      </c>
      <c r="T7">
        <v>213163355</v>
      </c>
      <c r="U7">
        <v>92315806</v>
      </c>
      <c r="V7">
        <v>674258</v>
      </c>
      <c r="W7">
        <v>176862332</v>
      </c>
      <c r="X7">
        <v>66968117</v>
      </c>
      <c r="Y7">
        <v>510025</v>
      </c>
      <c r="Z7">
        <f t="shared" si="0"/>
        <v>244340474</v>
      </c>
      <c r="AA7">
        <f t="shared" si="1"/>
        <v>306153419</v>
      </c>
      <c r="AB7">
        <f t="shared" si="2"/>
        <v>655647304</v>
      </c>
      <c r="AC7">
        <f t="shared" si="3"/>
        <v>71781329</v>
      </c>
      <c r="AD7">
        <f t="shared" si="4"/>
        <v>85276674</v>
      </c>
      <c r="AE7">
        <f t="shared" si="5"/>
        <v>851667497</v>
      </c>
    </row>
    <row r="8" spans="1:31" x14ac:dyDescent="0.4">
      <c r="A8" s="1" t="s">
        <v>90</v>
      </c>
      <c r="B8">
        <v>66119918</v>
      </c>
      <c r="C8">
        <v>199890174</v>
      </c>
      <c r="D8">
        <v>6185036</v>
      </c>
      <c r="E8">
        <v>0</v>
      </c>
      <c r="F8">
        <v>28334309</v>
      </c>
      <c r="G8">
        <v>31339902</v>
      </c>
      <c r="H8">
        <v>216414304</v>
      </c>
      <c r="I8">
        <v>1787382</v>
      </c>
      <c r="J8">
        <v>0</v>
      </c>
      <c r="K8">
        <v>13052790</v>
      </c>
      <c r="L8">
        <v>25595838</v>
      </c>
      <c r="M8">
        <v>362655942</v>
      </c>
      <c r="N8">
        <v>9813209</v>
      </c>
      <c r="O8">
        <v>0</v>
      </c>
      <c r="P8">
        <v>16597999</v>
      </c>
      <c r="Q8">
        <v>896246515</v>
      </c>
      <c r="R8">
        <v>847764679</v>
      </c>
      <c r="S8">
        <v>32598864</v>
      </c>
      <c r="T8">
        <v>790641159</v>
      </c>
      <c r="U8">
        <v>563015438</v>
      </c>
      <c r="V8">
        <v>44785268</v>
      </c>
      <c r="W8">
        <v>668378143</v>
      </c>
      <c r="X8">
        <v>628568958</v>
      </c>
      <c r="Y8">
        <v>5639232</v>
      </c>
      <c r="Z8">
        <f t="shared" si="0"/>
        <v>1302586333</v>
      </c>
      <c r="AA8">
        <f t="shared" si="1"/>
        <v>1398441865</v>
      </c>
      <c r="AB8">
        <f t="shared" si="2"/>
        <v>1776610058</v>
      </c>
      <c r="AC8">
        <f t="shared" si="3"/>
        <v>414662988</v>
      </c>
      <c r="AD8">
        <f t="shared" si="4"/>
        <v>262594378</v>
      </c>
      <c r="AE8">
        <f t="shared" si="5"/>
        <v>300529437</v>
      </c>
    </row>
    <row r="9" spans="1:31" x14ac:dyDescent="0.4">
      <c r="A9" s="1" t="s">
        <v>91</v>
      </c>
      <c r="B9">
        <v>2292595</v>
      </c>
      <c r="C9">
        <v>50784525</v>
      </c>
      <c r="D9">
        <v>785670</v>
      </c>
      <c r="E9">
        <v>0</v>
      </c>
      <c r="F9">
        <v>5246854</v>
      </c>
      <c r="G9">
        <v>47892616</v>
      </c>
      <c r="H9">
        <v>104971898</v>
      </c>
      <c r="I9">
        <v>8864119</v>
      </c>
      <c r="J9">
        <v>0</v>
      </c>
      <c r="K9">
        <v>6691545</v>
      </c>
      <c r="L9">
        <v>13537874</v>
      </c>
      <c r="M9">
        <v>123802181</v>
      </c>
      <c r="N9">
        <v>6024316</v>
      </c>
      <c r="O9">
        <v>0</v>
      </c>
      <c r="P9">
        <v>2850916</v>
      </c>
      <c r="Q9">
        <v>179911036</v>
      </c>
      <c r="R9">
        <v>161205165</v>
      </c>
      <c r="S9">
        <v>6369794</v>
      </c>
      <c r="T9">
        <v>163913416</v>
      </c>
      <c r="U9">
        <v>160209560</v>
      </c>
      <c r="V9">
        <v>3595861</v>
      </c>
      <c r="W9">
        <v>148333682</v>
      </c>
      <c r="X9">
        <v>133269698</v>
      </c>
      <c r="Y9">
        <v>1424595</v>
      </c>
      <c r="Z9">
        <f t="shared" si="0"/>
        <v>283027975</v>
      </c>
      <c r="AA9">
        <f t="shared" si="1"/>
        <v>327718837</v>
      </c>
      <c r="AB9">
        <f t="shared" si="2"/>
        <v>347485995</v>
      </c>
      <c r="AC9">
        <f t="shared" si="3"/>
        <v>146215287</v>
      </c>
      <c r="AD9">
        <f t="shared" si="4"/>
        <v>168420178</v>
      </c>
      <c r="AE9">
        <f t="shared" si="5"/>
        <v>59109644</v>
      </c>
    </row>
    <row r="10" spans="1:31" x14ac:dyDescent="0.4">
      <c r="A10" s="1" t="s">
        <v>92</v>
      </c>
      <c r="B10">
        <v>144888953</v>
      </c>
      <c r="C10">
        <v>511768358</v>
      </c>
      <c r="D10">
        <v>24626782</v>
      </c>
      <c r="E10">
        <v>0</v>
      </c>
      <c r="F10">
        <v>494657138</v>
      </c>
      <c r="G10">
        <v>212549726</v>
      </c>
      <c r="H10">
        <v>570399409</v>
      </c>
      <c r="I10">
        <v>15231760</v>
      </c>
      <c r="J10">
        <v>0</v>
      </c>
      <c r="K10">
        <v>678150953</v>
      </c>
      <c r="L10">
        <v>122976870</v>
      </c>
      <c r="M10">
        <v>317904320</v>
      </c>
      <c r="N10">
        <v>14081657</v>
      </c>
      <c r="O10">
        <v>0</v>
      </c>
      <c r="P10">
        <v>689764913</v>
      </c>
      <c r="Q10">
        <v>1987664697</v>
      </c>
      <c r="R10">
        <v>1323045038</v>
      </c>
      <c r="S10">
        <v>55123615</v>
      </c>
      <c r="T10">
        <v>1835256296</v>
      </c>
      <c r="U10">
        <v>1026826502</v>
      </c>
      <c r="V10">
        <v>85410030</v>
      </c>
      <c r="W10">
        <v>1748454897</v>
      </c>
      <c r="X10">
        <v>810328532</v>
      </c>
      <c r="Y10">
        <v>12338782</v>
      </c>
      <c r="Z10">
        <f t="shared" si="0"/>
        <v>2571122211</v>
      </c>
      <c r="AA10">
        <f t="shared" si="1"/>
        <v>2947492828</v>
      </c>
      <c r="AB10">
        <f t="shared" si="2"/>
        <v>3365833350</v>
      </c>
      <c r="AC10">
        <f t="shared" si="3"/>
        <v>1144727760</v>
      </c>
      <c r="AD10">
        <f t="shared" si="4"/>
        <v>1476331848</v>
      </c>
      <c r="AE10">
        <f t="shared" si="5"/>
        <v>1175941231</v>
      </c>
    </row>
    <row r="11" spans="1:31" x14ac:dyDescent="0.4">
      <c r="A11" s="1" t="s">
        <v>93</v>
      </c>
      <c r="B11">
        <v>28995305</v>
      </c>
      <c r="C11">
        <v>337408737</v>
      </c>
      <c r="D11">
        <v>0</v>
      </c>
      <c r="E11">
        <v>0</v>
      </c>
      <c r="F11">
        <v>400422417</v>
      </c>
      <c r="G11">
        <v>54273351</v>
      </c>
      <c r="H11">
        <v>354297902</v>
      </c>
      <c r="I11">
        <v>0</v>
      </c>
      <c r="J11">
        <v>0</v>
      </c>
      <c r="K11">
        <v>222495370</v>
      </c>
      <c r="L11">
        <v>35657429</v>
      </c>
      <c r="M11">
        <v>360785745</v>
      </c>
      <c r="N11">
        <v>600000</v>
      </c>
      <c r="O11">
        <v>70092</v>
      </c>
      <c r="P11">
        <v>135612446</v>
      </c>
      <c r="Q11">
        <v>1450713808</v>
      </c>
      <c r="R11">
        <v>1398202506</v>
      </c>
      <c r="S11">
        <v>62064882</v>
      </c>
      <c r="T11">
        <v>2044754274</v>
      </c>
      <c r="U11">
        <v>1122709987</v>
      </c>
      <c r="V11">
        <v>38926352</v>
      </c>
      <c r="W11">
        <v>1745821591</v>
      </c>
      <c r="X11">
        <v>754647920</v>
      </c>
      <c r="Y11">
        <v>2433745</v>
      </c>
      <c r="Z11">
        <f t="shared" si="0"/>
        <v>2502903256</v>
      </c>
      <c r="AA11">
        <f t="shared" si="1"/>
        <v>3206390613</v>
      </c>
      <c r="AB11">
        <f t="shared" si="2"/>
        <v>2910981196</v>
      </c>
      <c r="AC11">
        <f t="shared" si="3"/>
        <v>532725712</v>
      </c>
      <c r="AD11">
        <f t="shared" si="4"/>
        <v>631066623</v>
      </c>
      <c r="AE11">
        <f t="shared" si="5"/>
        <v>766826459</v>
      </c>
    </row>
    <row r="12" spans="1:31" x14ac:dyDescent="0.4">
      <c r="A12" s="1" t="s">
        <v>94</v>
      </c>
      <c r="B12">
        <v>55235239</v>
      </c>
      <c r="C12">
        <v>177000729</v>
      </c>
      <c r="D12">
        <v>36349590</v>
      </c>
      <c r="E12">
        <v>0</v>
      </c>
      <c r="F12">
        <v>57909848</v>
      </c>
      <c r="G12">
        <v>47193543</v>
      </c>
      <c r="H12">
        <v>259181099</v>
      </c>
      <c r="I12">
        <v>1202619</v>
      </c>
      <c r="J12">
        <v>0</v>
      </c>
      <c r="K12">
        <v>91974617</v>
      </c>
      <c r="L12">
        <v>33385164</v>
      </c>
      <c r="M12">
        <v>112076792</v>
      </c>
      <c r="N12">
        <v>0</v>
      </c>
      <c r="O12">
        <v>0</v>
      </c>
      <c r="P12">
        <v>54747127</v>
      </c>
      <c r="Q12">
        <v>822579933</v>
      </c>
      <c r="R12">
        <v>724344355</v>
      </c>
      <c r="S12">
        <v>30840722</v>
      </c>
      <c r="T12">
        <v>667850076</v>
      </c>
      <c r="U12">
        <v>569258068</v>
      </c>
      <c r="V12">
        <v>24535200</v>
      </c>
      <c r="W12">
        <v>558261242</v>
      </c>
      <c r="X12">
        <v>439197669</v>
      </c>
      <c r="Y12">
        <v>8881716</v>
      </c>
      <c r="Z12">
        <f t="shared" si="0"/>
        <v>1006340627</v>
      </c>
      <c r="AA12">
        <f t="shared" si="1"/>
        <v>1261643344</v>
      </c>
      <c r="AB12">
        <f t="shared" si="2"/>
        <v>1577765010</v>
      </c>
      <c r="AC12">
        <f t="shared" si="3"/>
        <v>200209083</v>
      </c>
      <c r="AD12">
        <f t="shared" si="4"/>
        <v>399551878</v>
      </c>
      <c r="AE12">
        <f t="shared" si="5"/>
        <v>326495406</v>
      </c>
    </row>
    <row r="13" spans="1:31" x14ac:dyDescent="0.4">
      <c r="A13" s="1" t="s">
        <v>95</v>
      </c>
      <c r="B13">
        <v>42047099</v>
      </c>
      <c r="C13">
        <v>345120335</v>
      </c>
      <c r="D13">
        <v>10366864</v>
      </c>
      <c r="E13">
        <v>0</v>
      </c>
      <c r="F13">
        <v>290120830</v>
      </c>
      <c r="G13">
        <v>38207541</v>
      </c>
      <c r="H13">
        <v>198997546</v>
      </c>
      <c r="I13">
        <v>42796235</v>
      </c>
      <c r="J13">
        <v>0</v>
      </c>
      <c r="K13">
        <v>2066394069</v>
      </c>
      <c r="L13">
        <v>34306591</v>
      </c>
      <c r="M13">
        <v>78517422</v>
      </c>
      <c r="N13">
        <v>151458514</v>
      </c>
      <c r="O13">
        <v>0</v>
      </c>
      <c r="P13">
        <v>90941656</v>
      </c>
      <c r="Q13">
        <v>460859793</v>
      </c>
      <c r="R13">
        <v>414394583</v>
      </c>
      <c r="S13">
        <v>14574525</v>
      </c>
      <c r="T13">
        <v>353441764</v>
      </c>
      <c r="U13">
        <v>426639422</v>
      </c>
      <c r="V13">
        <v>4062592</v>
      </c>
      <c r="W13">
        <v>306130283</v>
      </c>
      <c r="X13">
        <v>191666244</v>
      </c>
      <c r="Y13">
        <v>2302790</v>
      </c>
      <c r="Z13">
        <f t="shared" si="0"/>
        <v>500099317</v>
      </c>
      <c r="AA13">
        <f t="shared" si="1"/>
        <v>784143778</v>
      </c>
      <c r="AB13">
        <f t="shared" si="2"/>
        <v>889828901</v>
      </c>
      <c r="AC13">
        <f t="shared" si="3"/>
        <v>355224183</v>
      </c>
      <c r="AD13">
        <f t="shared" si="4"/>
        <v>2346395391</v>
      </c>
      <c r="AE13">
        <f t="shared" si="5"/>
        <v>687655128</v>
      </c>
    </row>
    <row r="14" spans="1:31" x14ac:dyDescent="0.4">
      <c r="A14" s="1" t="s">
        <v>96</v>
      </c>
      <c r="B14">
        <v>86170909</v>
      </c>
      <c r="C14">
        <v>610190453</v>
      </c>
      <c r="D14">
        <v>1978328</v>
      </c>
      <c r="E14">
        <v>8556183</v>
      </c>
      <c r="F14">
        <v>195527316</v>
      </c>
      <c r="G14">
        <v>109871530</v>
      </c>
      <c r="H14">
        <v>365488037</v>
      </c>
      <c r="I14">
        <v>917395</v>
      </c>
      <c r="J14">
        <v>9336136</v>
      </c>
      <c r="K14">
        <v>385635193</v>
      </c>
      <c r="L14">
        <v>31578203</v>
      </c>
      <c r="M14">
        <v>396024778</v>
      </c>
      <c r="N14">
        <v>17230645</v>
      </c>
      <c r="O14">
        <v>205250</v>
      </c>
      <c r="P14">
        <v>165797521</v>
      </c>
      <c r="Q14">
        <v>1174417450</v>
      </c>
      <c r="R14">
        <v>1954921058</v>
      </c>
      <c r="S14">
        <v>20118872</v>
      </c>
      <c r="T14">
        <v>778949563</v>
      </c>
      <c r="U14">
        <v>1496975993</v>
      </c>
      <c r="V14">
        <v>22484069</v>
      </c>
      <c r="W14">
        <v>591593878</v>
      </c>
      <c r="X14">
        <v>1063070705</v>
      </c>
      <c r="Y14">
        <v>1648564</v>
      </c>
      <c r="Z14">
        <f t="shared" si="0"/>
        <v>1656313147</v>
      </c>
      <c r="AA14">
        <f t="shared" si="1"/>
        <v>2298409625</v>
      </c>
      <c r="AB14">
        <f t="shared" si="2"/>
        <v>3149457380</v>
      </c>
      <c r="AC14">
        <f t="shared" si="3"/>
        <v>610836397</v>
      </c>
      <c r="AD14">
        <f t="shared" si="4"/>
        <v>871248291</v>
      </c>
      <c r="AE14">
        <f t="shared" si="5"/>
        <v>902423189</v>
      </c>
    </row>
    <row r="15" spans="1:31" x14ac:dyDescent="0.4">
      <c r="A15" s="1" t="s">
        <v>97</v>
      </c>
      <c r="B15">
        <v>203000000</v>
      </c>
      <c r="C15">
        <v>1103442000</v>
      </c>
      <c r="D15">
        <v>123000000</v>
      </c>
      <c r="E15">
        <v>10267000</v>
      </c>
      <c r="F15">
        <v>157700000</v>
      </c>
      <c r="G15">
        <v>202200000</v>
      </c>
      <c r="H15">
        <v>1096200000</v>
      </c>
      <c r="I15">
        <v>120140000</v>
      </c>
      <c r="J15">
        <v>6113000</v>
      </c>
      <c r="K15">
        <v>150260000</v>
      </c>
      <c r="L15">
        <v>184609000</v>
      </c>
      <c r="M15">
        <v>640307900</v>
      </c>
      <c r="N15">
        <v>107318500</v>
      </c>
      <c r="O15">
        <v>5674000</v>
      </c>
      <c r="P15">
        <v>137621500</v>
      </c>
      <c r="Q15">
        <v>4081234700</v>
      </c>
      <c r="R15">
        <v>5341217000</v>
      </c>
      <c r="S15">
        <v>55900000</v>
      </c>
      <c r="T15">
        <v>3543190000</v>
      </c>
      <c r="U15">
        <v>4670560000</v>
      </c>
      <c r="V15">
        <v>52180000</v>
      </c>
      <c r="W15">
        <v>3183924000</v>
      </c>
      <c r="X15">
        <v>3967440000</v>
      </c>
      <c r="Y15">
        <v>47800000</v>
      </c>
      <c r="Z15">
        <f t="shared" si="0"/>
        <v>7199164000</v>
      </c>
      <c r="AA15">
        <f t="shared" si="1"/>
        <v>8265930000</v>
      </c>
      <c r="AB15">
        <f t="shared" si="2"/>
        <v>9478351700</v>
      </c>
      <c r="AC15">
        <f t="shared" si="3"/>
        <v>1075530900</v>
      </c>
      <c r="AD15">
        <f t="shared" si="4"/>
        <v>1574913000</v>
      </c>
      <c r="AE15">
        <f t="shared" si="5"/>
        <v>1597409000</v>
      </c>
    </row>
    <row r="16" spans="1:31" x14ac:dyDescent="0.4">
      <c r="A16" s="1" t="s">
        <v>98</v>
      </c>
      <c r="B16">
        <v>247696823</v>
      </c>
      <c r="C16">
        <v>1613101450</v>
      </c>
      <c r="D16">
        <v>0</v>
      </c>
      <c r="E16">
        <v>23090103</v>
      </c>
      <c r="F16">
        <v>316335763</v>
      </c>
      <c r="G16">
        <v>256500000</v>
      </c>
      <c r="H16">
        <v>761461375</v>
      </c>
      <c r="I16">
        <v>0</v>
      </c>
      <c r="J16">
        <v>2300000</v>
      </c>
      <c r="K16">
        <v>648459019</v>
      </c>
      <c r="L16">
        <v>189496133</v>
      </c>
      <c r="M16">
        <v>543377993</v>
      </c>
      <c r="N16">
        <v>3374185</v>
      </c>
      <c r="O16">
        <v>3882469</v>
      </c>
      <c r="P16">
        <v>219791746</v>
      </c>
      <c r="Q16">
        <v>6099113711</v>
      </c>
      <c r="R16">
        <v>4562045544</v>
      </c>
      <c r="S16">
        <v>163201110</v>
      </c>
      <c r="T16">
        <v>7134146302</v>
      </c>
      <c r="U16">
        <v>2482172231</v>
      </c>
      <c r="V16">
        <v>67110522</v>
      </c>
      <c r="W16">
        <v>6367568115</v>
      </c>
      <c r="X16">
        <v>3237288905</v>
      </c>
      <c r="Y16">
        <v>23457891</v>
      </c>
      <c r="Z16">
        <f t="shared" si="0"/>
        <v>9628314911</v>
      </c>
      <c r="AA16">
        <f t="shared" si="1"/>
        <v>9683429055</v>
      </c>
      <c r="AB16">
        <f t="shared" si="2"/>
        <v>10824360365</v>
      </c>
      <c r="AC16">
        <f t="shared" si="3"/>
        <v>959922526</v>
      </c>
      <c r="AD16">
        <f t="shared" si="4"/>
        <v>1668720394</v>
      </c>
      <c r="AE16">
        <f t="shared" si="5"/>
        <v>2200224139</v>
      </c>
    </row>
    <row r="17" spans="1:31" x14ac:dyDescent="0.4">
      <c r="A17" s="1" t="s">
        <v>99</v>
      </c>
      <c r="B17">
        <v>72507108</v>
      </c>
      <c r="C17">
        <v>107640688</v>
      </c>
      <c r="D17">
        <v>145737145</v>
      </c>
      <c r="E17">
        <v>22864463</v>
      </c>
      <c r="F17">
        <v>71658477</v>
      </c>
      <c r="G17">
        <v>70004195</v>
      </c>
      <c r="H17">
        <v>89947259</v>
      </c>
      <c r="I17">
        <v>70111888</v>
      </c>
      <c r="J17">
        <v>3744375</v>
      </c>
      <c r="K17">
        <v>70457332</v>
      </c>
      <c r="L17">
        <v>35101891</v>
      </c>
      <c r="M17">
        <v>37610048</v>
      </c>
      <c r="N17">
        <v>46767696</v>
      </c>
      <c r="O17">
        <v>387553</v>
      </c>
      <c r="P17">
        <v>27833959</v>
      </c>
      <c r="Q17">
        <v>628458192</v>
      </c>
      <c r="R17">
        <v>1535480911</v>
      </c>
      <c r="S17">
        <v>7569965</v>
      </c>
      <c r="T17">
        <v>503949111</v>
      </c>
      <c r="U17">
        <v>1184099998</v>
      </c>
      <c r="V17">
        <v>2653847</v>
      </c>
      <c r="W17">
        <v>400687047</v>
      </c>
      <c r="X17">
        <v>553386093</v>
      </c>
      <c r="Y17">
        <v>1034001</v>
      </c>
      <c r="Z17">
        <f t="shared" si="0"/>
        <v>955107141</v>
      </c>
      <c r="AA17">
        <f t="shared" si="1"/>
        <v>1690702956</v>
      </c>
      <c r="AB17">
        <f t="shared" si="2"/>
        <v>2171509068</v>
      </c>
      <c r="AC17">
        <f t="shared" si="3"/>
        <v>147701147</v>
      </c>
      <c r="AD17">
        <f t="shared" si="4"/>
        <v>304265049</v>
      </c>
      <c r="AE17">
        <f t="shared" si="5"/>
        <v>420407881</v>
      </c>
    </row>
    <row r="18" spans="1:31" x14ac:dyDescent="0.4">
      <c r="A18" s="1" t="s">
        <v>100</v>
      </c>
      <c r="B18">
        <v>53591660</v>
      </c>
      <c r="C18">
        <v>116563472</v>
      </c>
      <c r="D18">
        <v>24645900</v>
      </c>
      <c r="E18">
        <v>0</v>
      </c>
      <c r="F18">
        <v>101819519</v>
      </c>
      <c r="G18">
        <v>44024355</v>
      </c>
      <c r="H18">
        <v>70755812</v>
      </c>
      <c r="I18">
        <v>75977529</v>
      </c>
      <c r="J18">
        <v>0</v>
      </c>
      <c r="K18">
        <v>72929013</v>
      </c>
      <c r="L18">
        <v>42362426</v>
      </c>
      <c r="M18">
        <v>78373090</v>
      </c>
      <c r="N18">
        <v>98300625</v>
      </c>
      <c r="O18">
        <v>0</v>
      </c>
      <c r="P18">
        <v>48083518</v>
      </c>
      <c r="Q18">
        <v>409972097</v>
      </c>
      <c r="R18">
        <v>126768023</v>
      </c>
      <c r="S18">
        <v>13486836</v>
      </c>
      <c r="T18">
        <v>337009280</v>
      </c>
      <c r="U18">
        <v>109176495</v>
      </c>
      <c r="V18">
        <v>8710362</v>
      </c>
      <c r="W18">
        <v>276935777</v>
      </c>
      <c r="X18">
        <v>84436029</v>
      </c>
      <c r="Y18">
        <v>3513969</v>
      </c>
      <c r="Z18">
        <f t="shared" si="0"/>
        <v>364885775</v>
      </c>
      <c r="AA18">
        <f t="shared" si="1"/>
        <v>454896137</v>
      </c>
      <c r="AB18">
        <f t="shared" si="2"/>
        <v>550226956</v>
      </c>
      <c r="AC18">
        <f t="shared" si="3"/>
        <v>267119659</v>
      </c>
      <c r="AD18">
        <f t="shared" si="4"/>
        <v>263686709</v>
      </c>
      <c r="AE18">
        <f t="shared" si="5"/>
        <v>296620551</v>
      </c>
    </row>
    <row r="19" spans="1:31" x14ac:dyDescent="0.4">
      <c r="A19" s="1" t="s">
        <v>101</v>
      </c>
      <c r="B19">
        <v>121605650</v>
      </c>
      <c r="C19">
        <v>337272917</v>
      </c>
      <c r="D19">
        <v>21676092</v>
      </c>
      <c r="E19">
        <v>0</v>
      </c>
      <c r="F19">
        <v>124005462</v>
      </c>
      <c r="G19">
        <v>126432017</v>
      </c>
      <c r="H19">
        <v>713805099</v>
      </c>
      <c r="I19">
        <v>17430742</v>
      </c>
      <c r="J19">
        <v>0</v>
      </c>
      <c r="K19">
        <v>123539258</v>
      </c>
      <c r="L19">
        <v>96756610</v>
      </c>
      <c r="M19">
        <v>329329209</v>
      </c>
      <c r="N19">
        <v>10872944</v>
      </c>
      <c r="O19">
        <v>0</v>
      </c>
      <c r="P19">
        <v>89163954</v>
      </c>
      <c r="Q19">
        <v>662210115</v>
      </c>
      <c r="R19">
        <v>776352724</v>
      </c>
      <c r="S19">
        <v>38997493</v>
      </c>
      <c r="T19">
        <v>562171509</v>
      </c>
      <c r="U19">
        <v>573194133</v>
      </c>
      <c r="V19">
        <v>20723857</v>
      </c>
      <c r="W19">
        <v>466680578</v>
      </c>
      <c r="X19">
        <v>472562854</v>
      </c>
      <c r="Y19">
        <v>14033011</v>
      </c>
      <c r="Z19">
        <f t="shared" si="0"/>
        <v>953276443</v>
      </c>
      <c r="AA19">
        <f t="shared" si="1"/>
        <v>1156089499</v>
      </c>
      <c r="AB19">
        <f t="shared" si="2"/>
        <v>1477560332</v>
      </c>
      <c r="AC19">
        <f t="shared" si="3"/>
        <v>526122717</v>
      </c>
      <c r="AD19">
        <f t="shared" si="4"/>
        <v>981207116</v>
      </c>
      <c r="AE19">
        <f t="shared" si="5"/>
        <v>604560121</v>
      </c>
    </row>
    <row r="20" spans="1:31" x14ac:dyDescent="0.4">
      <c r="A20" s="1" t="s">
        <v>102</v>
      </c>
      <c r="B20">
        <v>276631841</v>
      </c>
      <c r="C20">
        <v>1124364915</v>
      </c>
      <c r="D20">
        <v>128418129</v>
      </c>
      <c r="E20">
        <v>7829444</v>
      </c>
      <c r="F20">
        <v>876060170</v>
      </c>
      <c r="G20">
        <v>154362057</v>
      </c>
      <c r="H20">
        <v>793642966</v>
      </c>
      <c r="I20">
        <v>12625688</v>
      </c>
      <c r="J20">
        <v>202952</v>
      </c>
      <c r="K20">
        <v>507825017</v>
      </c>
      <c r="L20">
        <v>265750001</v>
      </c>
      <c r="M20">
        <v>781519626</v>
      </c>
      <c r="N20">
        <v>17442828</v>
      </c>
      <c r="O20">
        <v>494000</v>
      </c>
      <c r="P20">
        <v>328517202</v>
      </c>
      <c r="Q20">
        <v>4331714168</v>
      </c>
      <c r="R20">
        <v>1604825569</v>
      </c>
      <c r="S20">
        <v>141753089</v>
      </c>
      <c r="T20">
        <v>3907376482</v>
      </c>
      <c r="U20">
        <v>1409765421</v>
      </c>
      <c r="V20">
        <v>95008795</v>
      </c>
      <c r="W20">
        <v>3388274784</v>
      </c>
      <c r="X20">
        <v>1194098948</v>
      </c>
      <c r="Y20">
        <v>16575462</v>
      </c>
      <c r="Z20">
        <f t="shared" si="0"/>
        <v>4598949194</v>
      </c>
      <c r="AA20">
        <f t="shared" si="1"/>
        <v>5412150698</v>
      </c>
      <c r="AB20">
        <f t="shared" si="2"/>
        <v>6078292826</v>
      </c>
      <c r="AC20">
        <f t="shared" si="3"/>
        <v>1393723657</v>
      </c>
      <c r="AD20">
        <f t="shared" si="4"/>
        <v>1468658680</v>
      </c>
      <c r="AE20">
        <f t="shared" si="5"/>
        <v>2413304499</v>
      </c>
    </row>
    <row r="21" spans="1:31" x14ac:dyDescent="0.4">
      <c r="A21" s="1" t="s">
        <v>103</v>
      </c>
      <c r="B21">
        <v>59215538</v>
      </c>
      <c r="C21">
        <v>317943911</v>
      </c>
      <c r="D21">
        <v>5179903</v>
      </c>
      <c r="E21">
        <v>0</v>
      </c>
      <c r="F21">
        <v>764043847</v>
      </c>
      <c r="G21">
        <v>75746137</v>
      </c>
      <c r="H21">
        <v>213322815</v>
      </c>
      <c r="I21">
        <v>2268087</v>
      </c>
      <c r="J21">
        <v>0</v>
      </c>
      <c r="K21">
        <v>12459316</v>
      </c>
      <c r="L21">
        <v>39879613</v>
      </c>
      <c r="M21">
        <v>175879552</v>
      </c>
      <c r="N21">
        <v>9914230</v>
      </c>
      <c r="O21">
        <v>0</v>
      </c>
      <c r="P21">
        <v>19760201</v>
      </c>
      <c r="Q21">
        <v>728115550</v>
      </c>
      <c r="R21">
        <v>692570430</v>
      </c>
      <c r="S21">
        <v>65840101</v>
      </c>
      <c r="T21">
        <v>672720230</v>
      </c>
      <c r="U21">
        <v>777227956</v>
      </c>
      <c r="V21">
        <v>50874389</v>
      </c>
      <c r="W21">
        <v>592137411</v>
      </c>
      <c r="X21">
        <v>607049468</v>
      </c>
      <c r="Y21">
        <v>13349937</v>
      </c>
      <c r="Z21">
        <f t="shared" si="0"/>
        <v>1212536816</v>
      </c>
      <c r="AA21">
        <f t="shared" si="1"/>
        <v>1500822575</v>
      </c>
      <c r="AB21">
        <f t="shared" si="2"/>
        <v>1486526081</v>
      </c>
      <c r="AC21">
        <f t="shared" si="3"/>
        <v>245433596</v>
      </c>
      <c r="AD21">
        <f t="shared" si="4"/>
        <v>303796355</v>
      </c>
      <c r="AE21">
        <f t="shared" si="5"/>
        <v>1146383199</v>
      </c>
    </row>
    <row r="22" spans="1:31" x14ac:dyDescent="0.4">
      <c r="A22" s="1" t="s">
        <v>104</v>
      </c>
      <c r="B22">
        <v>43213105</v>
      </c>
      <c r="C22">
        <v>761033986</v>
      </c>
      <c r="D22">
        <v>1364064</v>
      </c>
      <c r="E22">
        <v>0</v>
      </c>
      <c r="F22">
        <v>906306869</v>
      </c>
      <c r="G22">
        <v>45049803</v>
      </c>
      <c r="H22">
        <v>387810044</v>
      </c>
      <c r="I22">
        <v>1912856</v>
      </c>
      <c r="J22">
        <v>0</v>
      </c>
      <c r="K22">
        <v>127113414</v>
      </c>
      <c r="L22">
        <v>41283431</v>
      </c>
      <c r="M22">
        <v>108143703</v>
      </c>
      <c r="N22">
        <v>909899</v>
      </c>
      <c r="O22">
        <v>0</v>
      </c>
      <c r="P22">
        <v>67503265</v>
      </c>
      <c r="Q22">
        <v>519711016</v>
      </c>
      <c r="R22">
        <v>444749580</v>
      </c>
      <c r="S22">
        <v>10092690</v>
      </c>
      <c r="T22">
        <v>406473898</v>
      </c>
      <c r="U22">
        <v>270327094</v>
      </c>
      <c r="V22">
        <v>3458992</v>
      </c>
      <c r="W22">
        <v>341974384</v>
      </c>
      <c r="X22">
        <v>233476680</v>
      </c>
      <c r="Y22">
        <v>1572824</v>
      </c>
      <c r="Z22">
        <f t="shared" si="0"/>
        <v>577023888</v>
      </c>
      <c r="AA22">
        <f t="shared" si="1"/>
        <v>680259984</v>
      </c>
      <c r="AB22">
        <f t="shared" si="2"/>
        <v>974553286</v>
      </c>
      <c r="AC22">
        <f t="shared" si="3"/>
        <v>217840298</v>
      </c>
      <c r="AD22">
        <f t="shared" si="4"/>
        <v>561886117</v>
      </c>
      <c r="AE22">
        <f t="shared" si="5"/>
        <v>1711918024</v>
      </c>
    </row>
    <row r="23" spans="1:31" x14ac:dyDescent="0.4">
      <c r="A23" s="1" t="s">
        <v>105</v>
      </c>
      <c r="B23">
        <v>33059889</v>
      </c>
      <c r="C23">
        <v>519202989</v>
      </c>
      <c r="D23">
        <v>12639361</v>
      </c>
      <c r="E23">
        <v>0</v>
      </c>
      <c r="F23">
        <v>99874512</v>
      </c>
      <c r="G23">
        <v>90573233</v>
      </c>
      <c r="H23">
        <v>301637795</v>
      </c>
      <c r="I23">
        <v>15429016</v>
      </c>
      <c r="J23">
        <v>0</v>
      </c>
      <c r="K23">
        <v>151940732</v>
      </c>
      <c r="L23">
        <v>83885967</v>
      </c>
      <c r="M23">
        <v>147678327</v>
      </c>
      <c r="N23">
        <v>26504291</v>
      </c>
      <c r="O23">
        <v>2691003</v>
      </c>
      <c r="P23">
        <v>82909537</v>
      </c>
      <c r="Q23">
        <v>2190139688</v>
      </c>
      <c r="R23">
        <v>1537627120</v>
      </c>
      <c r="S23">
        <v>42421440</v>
      </c>
      <c r="T23">
        <v>2087636535</v>
      </c>
      <c r="U23">
        <v>1636481738</v>
      </c>
      <c r="V23">
        <v>23570324</v>
      </c>
      <c r="W23">
        <v>1727284473</v>
      </c>
      <c r="X23">
        <v>1335296684</v>
      </c>
      <c r="Y23">
        <v>6624328</v>
      </c>
      <c r="Z23">
        <f t="shared" si="0"/>
        <v>3069205485</v>
      </c>
      <c r="AA23">
        <f t="shared" si="1"/>
        <v>3747688597</v>
      </c>
      <c r="AB23">
        <f t="shared" si="2"/>
        <v>3770188248</v>
      </c>
      <c r="AC23">
        <f t="shared" si="3"/>
        <v>343669125</v>
      </c>
      <c r="AD23">
        <f t="shared" si="4"/>
        <v>559580776</v>
      </c>
      <c r="AE23">
        <f t="shared" si="5"/>
        <v>664776751</v>
      </c>
    </row>
    <row r="24" spans="1:31" x14ac:dyDescent="0.4">
      <c r="A24" s="1" t="s">
        <v>106</v>
      </c>
      <c r="B24">
        <v>218534218</v>
      </c>
      <c r="C24">
        <v>1683221699</v>
      </c>
      <c r="D24">
        <v>85203873</v>
      </c>
      <c r="E24">
        <v>4506958</v>
      </c>
      <c r="F24">
        <v>1066659982</v>
      </c>
      <c r="G24">
        <v>202533939</v>
      </c>
      <c r="H24">
        <v>1299078359</v>
      </c>
      <c r="I24">
        <v>93480412</v>
      </c>
      <c r="J24">
        <v>0</v>
      </c>
      <c r="K24">
        <v>820174201</v>
      </c>
      <c r="L24">
        <v>338527338</v>
      </c>
      <c r="M24">
        <v>1453587730</v>
      </c>
      <c r="N24">
        <v>32057107</v>
      </c>
      <c r="O24">
        <v>2368699</v>
      </c>
      <c r="P24">
        <v>728618225</v>
      </c>
      <c r="Q24">
        <v>5010997865</v>
      </c>
      <c r="R24">
        <v>2940760709</v>
      </c>
      <c r="S24">
        <v>79780324</v>
      </c>
      <c r="T24">
        <v>5136049939</v>
      </c>
      <c r="U24">
        <v>1828614204</v>
      </c>
      <c r="V24">
        <v>39993362</v>
      </c>
      <c r="W24">
        <v>4102153668</v>
      </c>
      <c r="X24">
        <v>1250256552</v>
      </c>
      <c r="Y24">
        <v>3626240</v>
      </c>
      <c r="Z24">
        <f t="shared" si="0"/>
        <v>5356036460</v>
      </c>
      <c r="AA24">
        <f t="shared" si="1"/>
        <v>7004657505</v>
      </c>
      <c r="AB24">
        <f t="shared" si="2"/>
        <v>8031538898</v>
      </c>
      <c r="AC24">
        <f t="shared" si="3"/>
        <v>2555159099</v>
      </c>
      <c r="AD24">
        <f t="shared" si="4"/>
        <v>2415266911</v>
      </c>
      <c r="AE24">
        <f t="shared" si="5"/>
        <v>3058126730</v>
      </c>
    </row>
    <row r="25" spans="1:31" x14ac:dyDescent="0.4">
      <c r="A25" s="1" t="s">
        <v>107</v>
      </c>
      <c r="B25">
        <v>86900300</v>
      </c>
      <c r="C25">
        <v>203212190</v>
      </c>
      <c r="D25">
        <v>3705514</v>
      </c>
      <c r="E25">
        <v>0</v>
      </c>
      <c r="F25">
        <v>133980866</v>
      </c>
      <c r="G25">
        <v>79785921</v>
      </c>
      <c r="H25">
        <v>423338548</v>
      </c>
      <c r="I25">
        <v>1243910</v>
      </c>
      <c r="J25">
        <v>0</v>
      </c>
      <c r="K25">
        <v>97273747</v>
      </c>
      <c r="L25">
        <v>108122599</v>
      </c>
      <c r="M25">
        <v>306142110</v>
      </c>
      <c r="N25">
        <v>189722</v>
      </c>
      <c r="O25">
        <v>0</v>
      </c>
      <c r="P25">
        <v>138188357</v>
      </c>
      <c r="Q25">
        <v>1980321612</v>
      </c>
      <c r="R25">
        <v>1531827189</v>
      </c>
      <c r="S25">
        <v>33203365</v>
      </c>
      <c r="T25">
        <v>1710510938</v>
      </c>
      <c r="U25">
        <v>942376807</v>
      </c>
      <c r="V25">
        <v>20185709</v>
      </c>
      <c r="W25">
        <v>1535808218</v>
      </c>
      <c r="X25">
        <v>890268162</v>
      </c>
      <c r="Y25">
        <v>9972172</v>
      </c>
      <c r="Z25">
        <f t="shared" si="0"/>
        <v>2436048552</v>
      </c>
      <c r="AA25">
        <f t="shared" si="1"/>
        <v>2673073454</v>
      </c>
      <c r="AB25">
        <f t="shared" si="2"/>
        <v>3545352166</v>
      </c>
      <c r="AC25">
        <f t="shared" si="3"/>
        <v>552642788</v>
      </c>
      <c r="AD25">
        <f t="shared" si="4"/>
        <v>601642126</v>
      </c>
      <c r="AE25">
        <f t="shared" si="5"/>
        <v>427798870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174D-94E7-4362-8BCC-DA792506C6BA}">
  <dimension ref="A1:AE30"/>
  <sheetViews>
    <sheetView tabSelected="1" topLeftCell="U1" workbookViewId="0">
      <selection activeCell="AD16" sqref="AD16"/>
    </sheetView>
  </sheetViews>
  <sheetFormatPr defaultRowHeight="14.6" x14ac:dyDescent="0.4"/>
  <cols>
    <col min="1" max="1" width="45.921875" bestFit="1" customWidth="1"/>
    <col min="2" max="2" width="17.15234375" bestFit="1" customWidth="1"/>
    <col min="3" max="3" width="38.84375" bestFit="1" customWidth="1"/>
    <col min="4" max="4" width="31.15234375" bestFit="1" customWidth="1"/>
    <col min="5" max="5" width="17.53515625" bestFit="1" customWidth="1"/>
    <col min="6" max="6" width="51.4609375" bestFit="1" customWidth="1"/>
    <col min="7" max="7" width="17.15234375" bestFit="1" customWidth="1"/>
    <col min="8" max="8" width="38.84375" bestFit="1" customWidth="1"/>
    <col min="9" max="9" width="31.15234375" bestFit="1" customWidth="1"/>
    <col min="10" max="10" width="17.53515625" bestFit="1" customWidth="1"/>
    <col min="11" max="11" width="51.4609375" bestFit="1" customWidth="1"/>
    <col min="12" max="12" width="17.15234375" bestFit="1" customWidth="1"/>
    <col min="13" max="13" width="38.84375" bestFit="1" customWidth="1"/>
    <col min="14" max="14" width="31.15234375" bestFit="1" customWidth="1"/>
    <col min="15" max="15" width="17.53515625" bestFit="1" customWidth="1"/>
    <col min="16" max="16" width="51.4609375" bestFit="1" customWidth="1"/>
    <col min="17" max="17" width="17.765625" bestFit="1" customWidth="1"/>
    <col min="18" max="18" width="80.61328125" bestFit="1" customWidth="1"/>
    <col min="19" max="19" width="40.69140625" bestFit="1" customWidth="1"/>
    <col min="20" max="20" width="17.765625" bestFit="1" customWidth="1"/>
    <col min="21" max="21" width="80.61328125" bestFit="1" customWidth="1"/>
    <col min="22" max="22" width="40.69140625" bestFit="1" customWidth="1"/>
    <col min="23" max="23" width="17.765625" bestFit="1" customWidth="1"/>
    <col min="24" max="24" width="80.61328125" bestFit="1" customWidth="1"/>
    <col min="25" max="25" width="40.6914062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137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</row>
    <row r="2" spans="1:31" x14ac:dyDescent="0.4">
      <c r="A2" s="1" t="s">
        <v>108</v>
      </c>
      <c r="B2">
        <v>25470848</v>
      </c>
      <c r="C2">
        <v>46033470</v>
      </c>
      <c r="D2">
        <v>1233726</v>
      </c>
      <c r="E2">
        <v>0</v>
      </c>
      <c r="F2">
        <v>365337010</v>
      </c>
      <c r="G2">
        <v>32320345</v>
      </c>
      <c r="H2">
        <v>62608921</v>
      </c>
      <c r="I2">
        <v>937514</v>
      </c>
      <c r="J2">
        <v>0</v>
      </c>
      <c r="K2">
        <v>64803488</v>
      </c>
      <c r="L2">
        <v>30328469</v>
      </c>
      <c r="M2">
        <v>64923148</v>
      </c>
      <c r="N2">
        <v>958749</v>
      </c>
      <c r="O2">
        <v>0</v>
      </c>
      <c r="P2">
        <v>13103429</v>
      </c>
      <c r="Q2">
        <v>1040001873</v>
      </c>
      <c r="R2">
        <v>561357360</v>
      </c>
      <c r="S2">
        <v>4405930</v>
      </c>
      <c r="T2">
        <v>1017832091</v>
      </c>
      <c r="U2">
        <v>266888715</v>
      </c>
      <c r="V2">
        <v>3428035</v>
      </c>
      <c r="W2">
        <v>753824026</v>
      </c>
      <c r="X2">
        <v>327937598</v>
      </c>
      <c r="Y2">
        <v>2197815</v>
      </c>
      <c r="Z2">
        <f t="shared" ref="Z2:Z30" si="0">SUM($W2,$X2,$Y2)</f>
        <v>1083959439</v>
      </c>
      <c r="AA2">
        <f t="shared" ref="AA2:AA30" si="1">SUM($T2,$U2,$V2)</f>
        <v>1288148841</v>
      </c>
      <c r="AB2">
        <f t="shared" ref="AB2:AB30" si="2">SUM($Q2,$R2,$S2)</f>
        <v>1605765163</v>
      </c>
      <c r="AC2">
        <f t="shared" ref="AC2:AC30" si="3">SUM($L2,$M2,$N2, $O2, $P2)</f>
        <v>109313795</v>
      </c>
      <c r="AD2">
        <f t="shared" ref="AD2:AD30" si="4">SUM($G2,$H2,$I2, $J2, $K2)</f>
        <v>160670268</v>
      </c>
      <c r="AE2">
        <f t="shared" ref="AE2:AE30" si="5">SUM($B2,$C2,$D2, $E2, $F2)</f>
        <v>438075054</v>
      </c>
    </row>
    <row r="3" spans="1:31" x14ac:dyDescent="0.4">
      <c r="A3" s="1" t="s">
        <v>109</v>
      </c>
      <c r="B3">
        <v>41769208</v>
      </c>
      <c r="C3">
        <v>144640332</v>
      </c>
      <c r="D3">
        <v>5608988</v>
      </c>
      <c r="E3">
        <v>2647100</v>
      </c>
      <c r="F3">
        <v>157768265</v>
      </c>
      <c r="G3">
        <v>44422715</v>
      </c>
      <c r="H3">
        <v>194057394</v>
      </c>
      <c r="I3">
        <v>0</v>
      </c>
      <c r="J3">
        <v>492000</v>
      </c>
      <c r="K3">
        <v>54480323</v>
      </c>
      <c r="L3">
        <v>22127897</v>
      </c>
      <c r="M3">
        <v>18038747</v>
      </c>
      <c r="N3">
        <v>0</v>
      </c>
      <c r="O3">
        <v>0</v>
      </c>
      <c r="P3">
        <v>19390781</v>
      </c>
      <c r="Q3">
        <v>1115926229</v>
      </c>
      <c r="R3">
        <v>648184814</v>
      </c>
      <c r="S3">
        <v>10590418</v>
      </c>
      <c r="T3">
        <v>1025257809</v>
      </c>
      <c r="U3">
        <v>393252055</v>
      </c>
      <c r="V3">
        <v>8379698</v>
      </c>
      <c r="W3">
        <v>988181636</v>
      </c>
      <c r="X3">
        <v>399877947</v>
      </c>
      <c r="Y3">
        <v>4030327</v>
      </c>
      <c r="Z3">
        <f t="shared" si="0"/>
        <v>1392089910</v>
      </c>
      <c r="AA3">
        <f t="shared" si="1"/>
        <v>1426889562</v>
      </c>
      <c r="AB3">
        <f t="shared" si="2"/>
        <v>1774701461</v>
      </c>
      <c r="AC3">
        <f t="shared" si="3"/>
        <v>59557425</v>
      </c>
      <c r="AD3">
        <f t="shared" si="4"/>
        <v>293452432</v>
      </c>
      <c r="AE3">
        <f t="shared" si="5"/>
        <v>352433893</v>
      </c>
    </row>
    <row r="4" spans="1:31" x14ac:dyDescent="0.4">
      <c r="A4" s="1" t="s">
        <v>110</v>
      </c>
      <c r="B4">
        <v>42570792</v>
      </c>
      <c r="C4">
        <v>68312206</v>
      </c>
      <c r="D4">
        <v>223359599</v>
      </c>
      <c r="E4">
        <v>247664</v>
      </c>
      <c r="F4">
        <v>207706270</v>
      </c>
      <c r="G4">
        <v>18364088</v>
      </c>
      <c r="H4">
        <v>17935738</v>
      </c>
      <c r="I4">
        <v>49328653</v>
      </c>
      <c r="J4">
        <v>857688</v>
      </c>
      <c r="K4">
        <v>105907735</v>
      </c>
      <c r="L4">
        <v>53622727</v>
      </c>
      <c r="M4">
        <v>28914883</v>
      </c>
      <c r="N4">
        <v>93839064</v>
      </c>
      <c r="O4">
        <v>1567728</v>
      </c>
      <c r="P4">
        <v>191785583</v>
      </c>
      <c r="Q4">
        <v>1201870764</v>
      </c>
      <c r="R4">
        <v>597115418</v>
      </c>
      <c r="S4">
        <v>8541704</v>
      </c>
      <c r="T4">
        <v>1062894552</v>
      </c>
      <c r="U4">
        <v>621541196</v>
      </c>
      <c r="V4">
        <v>10598622</v>
      </c>
      <c r="W4">
        <v>994062202</v>
      </c>
      <c r="X4">
        <v>168423545</v>
      </c>
      <c r="Y4">
        <v>3647494</v>
      </c>
      <c r="Z4">
        <f t="shared" si="0"/>
        <v>1166133241</v>
      </c>
      <c r="AA4">
        <f t="shared" si="1"/>
        <v>1695034370</v>
      </c>
      <c r="AB4">
        <f t="shared" si="2"/>
        <v>1807527886</v>
      </c>
      <c r="AC4">
        <f t="shared" si="3"/>
        <v>369729985</v>
      </c>
      <c r="AD4">
        <f t="shared" si="4"/>
        <v>192393902</v>
      </c>
      <c r="AE4">
        <f t="shared" si="5"/>
        <v>542196531</v>
      </c>
    </row>
    <row r="5" spans="1:31" x14ac:dyDescent="0.4">
      <c r="A5" s="1" t="s">
        <v>111</v>
      </c>
      <c r="B5">
        <v>40117830</v>
      </c>
      <c r="C5">
        <v>62087891</v>
      </c>
      <c r="D5">
        <v>1199504</v>
      </c>
      <c r="E5">
        <v>0</v>
      </c>
      <c r="F5">
        <v>64367666</v>
      </c>
      <c r="G5">
        <v>84493600</v>
      </c>
      <c r="H5">
        <v>51498989</v>
      </c>
      <c r="I5">
        <v>1075334</v>
      </c>
      <c r="J5">
        <v>0</v>
      </c>
      <c r="K5">
        <v>144187795</v>
      </c>
      <c r="L5">
        <v>58842750</v>
      </c>
      <c r="M5">
        <v>39590170</v>
      </c>
      <c r="N5">
        <v>902613</v>
      </c>
      <c r="O5">
        <v>299642</v>
      </c>
      <c r="P5">
        <v>377894677</v>
      </c>
      <c r="Q5">
        <v>1086305265</v>
      </c>
      <c r="R5">
        <v>951302532</v>
      </c>
      <c r="S5">
        <v>6348126</v>
      </c>
      <c r="T5">
        <v>1090861681</v>
      </c>
      <c r="U5">
        <v>1085425738</v>
      </c>
      <c r="V5">
        <v>9399625</v>
      </c>
      <c r="W5">
        <v>890400832</v>
      </c>
      <c r="X5">
        <v>747488659</v>
      </c>
      <c r="Y5">
        <v>7371741</v>
      </c>
      <c r="Z5">
        <f t="shared" si="0"/>
        <v>1645261232</v>
      </c>
      <c r="AA5">
        <f t="shared" si="1"/>
        <v>2185687044</v>
      </c>
      <c r="AB5">
        <f t="shared" si="2"/>
        <v>2043955923</v>
      </c>
      <c r="AC5">
        <f t="shared" si="3"/>
        <v>477529852</v>
      </c>
      <c r="AD5">
        <f t="shared" si="4"/>
        <v>281255718</v>
      </c>
      <c r="AE5">
        <f t="shared" si="5"/>
        <v>167772891</v>
      </c>
    </row>
    <row r="6" spans="1:31" x14ac:dyDescent="0.4">
      <c r="A6" s="1" t="s">
        <v>112</v>
      </c>
      <c r="B6">
        <v>17571732</v>
      </c>
      <c r="C6">
        <v>6496839</v>
      </c>
      <c r="D6">
        <v>21093466</v>
      </c>
      <c r="E6">
        <v>0</v>
      </c>
      <c r="F6">
        <v>926462</v>
      </c>
      <c r="G6">
        <v>24956</v>
      </c>
      <c r="H6">
        <v>6663000</v>
      </c>
      <c r="I6">
        <v>2725000</v>
      </c>
      <c r="J6">
        <v>0</v>
      </c>
      <c r="K6">
        <v>1023000</v>
      </c>
      <c r="L6">
        <v>12930</v>
      </c>
      <c r="M6">
        <v>230833000</v>
      </c>
      <c r="N6">
        <v>3009000</v>
      </c>
      <c r="O6">
        <v>0</v>
      </c>
      <c r="P6">
        <v>15342000</v>
      </c>
      <c r="Q6">
        <v>524295509</v>
      </c>
      <c r="R6">
        <v>465028132</v>
      </c>
      <c r="S6">
        <v>387633</v>
      </c>
      <c r="T6">
        <v>537084000</v>
      </c>
      <c r="U6">
        <v>5704190000</v>
      </c>
      <c r="V6">
        <v>413000</v>
      </c>
      <c r="W6">
        <v>428675000</v>
      </c>
      <c r="X6">
        <v>362147000</v>
      </c>
      <c r="Y6">
        <v>5000</v>
      </c>
      <c r="Z6">
        <f t="shared" si="0"/>
        <v>790827000</v>
      </c>
      <c r="AA6">
        <f t="shared" si="1"/>
        <v>6241687000</v>
      </c>
      <c r="AB6">
        <f t="shared" si="2"/>
        <v>989711274</v>
      </c>
      <c r="AC6">
        <f t="shared" si="3"/>
        <v>249196930</v>
      </c>
      <c r="AD6">
        <f t="shared" si="4"/>
        <v>10435956</v>
      </c>
      <c r="AE6">
        <f t="shared" si="5"/>
        <v>46088499</v>
      </c>
    </row>
    <row r="7" spans="1:31" x14ac:dyDescent="0.4">
      <c r="A7" s="1" t="s">
        <v>113</v>
      </c>
      <c r="B7">
        <v>5972282</v>
      </c>
      <c r="C7">
        <v>70626525</v>
      </c>
      <c r="D7">
        <v>13451334</v>
      </c>
      <c r="E7">
        <v>0</v>
      </c>
      <c r="F7">
        <v>80052084</v>
      </c>
      <c r="G7">
        <v>672738</v>
      </c>
      <c r="H7">
        <v>17435066</v>
      </c>
      <c r="I7">
        <v>2981687</v>
      </c>
      <c r="J7">
        <v>0</v>
      </c>
      <c r="K7">
        <v>29010403</v>
      </c>
      <c r="L7">
        <v>881433</v>
      </c>
      <c r="M7">
        <v>17427449</v>
      </c>
      <c r="N7">
        <v>2328600</v>
      </c>
      <c r="O7">
        <v>0</v>
      </c>
      <c r="P7">
        <v>0</v>
      </c>
      <c r="Q7">
        <v>165359215</v>
      </c>
      <c r="R7">
        <v>133194740</v>
      </c>
      <c r="S7">
        <v>2065950</v>
      </c>
      <c r="T7">
        <v>200008989</v>
      </c>
      <c r="U7">
        <v>61378251</v>
      </c>
      <c r="V7">
        <v>235618</v>
      </c>
      <c r="W7">
        <v>110460550</v>
      </c>
      <c r="X7">
        <v>7286334</v>
      </c>
      <c r="Y7">
        <v>469500</v>
      </c>
      <c r="Z7">
        <f t="shared" si="0"/>
        <v>118216384</v>
      </c>
      <c r="AA7">
        <f t="shared" si="1"/>
        <v>261622858</v>
      </c>
      <c r="AB7">
        <f t="shared" si="2"/>
        <v>300619905</v>
      </c>
      <c r="AC7">
        <f t="shared" si="3"/>
        <v>20637482</v>
      </c>
      <c r="AD7">
        <f t="shared" si="4"/>
        <v>50099894</v>
      </c>
      <c r="AE7">
        <f t="shared" si="5"/>
        <v>170102225</v>
      </c>
    </row>
    <row r="8" spans="1:31" x14ac:dyDescent="0.4">
      <c r="A8" s="1" t="s">
        <v>114</v>
      </c>
      <c r="B8">
        <v>15800925</v>
      </c>
      <c r="C8">
        <v>118837300</v>
      </c>
      <c r="D8">
        <v>26697160</v>
      </c>
      <c r="E8">
        <v>642996</v>
      </c>
      <c r="F8">
        <v>241132249</v>
      </c>
      <c r="G8">
        <v>9231332</v>
      </c>
      <c r="H8">
        <v>172182562</v>
      </c>
      <c r="I8">
        <v>94081011</v>
      </c>
      <c r="J8">
        <v>443973</v>
      </c>
      <c r="K8">
        <v>205532921</v>
      </c>
      <c r="L8">
        <v>8536825</v>
      </c>
      <c r="M8">
        <v>123100000</v>
      </c>
      <c r="N8">
        <v>61992630</v>
      </c>
      <c r="O8">
        <v>4235385</v>
      </c>
      <c r="P8">
        <v>52300000</v>
      </c>
      <c r="Q8">
        <v>239842565</v>
      </c>
      <c r="R8">
        <v>335340011</v>
      </c>
      <c r="S8">
        <v>18415995</v>
      </c>
      <c r="T8">
        <v>183883666</v>
      </c>
      <c r="U8">
        <v>147666344</v>
      </c>
      <c r="V8">
        <v>21012959</v>
      </c>
      <c r="W8">
        <v>199617303</v>
      </c>
      <c r="X8">
        <v>24117607</v>
      </c>
      <c r="Y8">
        <v>16935372</v>
      </c>
      <c r="Z8">
        <f t="shared" si="0"/>
        <v>240670282</v>
      </c>
      <c r="AA8">
        <f t="shared" si="1"/>
        <v>352562969</v>
      </c>
      <c r="AB8">
        <f t="shared" si="2"/>
        <v>593598571</v>
      </c>
      <c r="AC8">
        <f t="shared" si="3"/>
        <v>250164840</v>
      </c>
      <c r="AD8">
        <f t="shared" si="4"/>
        <v>481471799</v>
      </c>
      <c r="AE8">
        <f t="shared" si="5"/>
        <v>403110630</v>
      </c>
    </row>
    <row r="9" spans="1:31" x14ac:dyDescent="0.4">
      <c r="A9" s="1" t="s">
        <v>115</v>
      </c>
      <c r="B9">
        <v>76443532</v>
      </c>
      <c r="C9">
        <v>400907837</v>
      </c>
      <c r="D9">
        <v>21845275</v>
      </c>
      <c r="E9">
        <v>2934343</v>
      </c>
      <c r="F9">
        <v>419475391</v>
      </c>
      <c r="G9">
        <v>66466009</v>
      </c>
      <c r="H9">
        <v>244789093</v>
      </c>
      <c r="I9">
        <v>15664244</v>
      </c>
      <c r="J9">
        <v>2584600</v>
      </c>
      <c r="K9">
        <v>132301127</v>
      </c>
      <c r="L9">
        <v>7724315</v>
      </c>
      <c r="M9">
        <v>215549653</v>
      </c>
      <c r="N9">
        <v>9019423</v>
      </c>
      <c r="O9">
        <v>1785350</v>
      </c>
      <c r="P9">
        <v>162225830</v>
      </c>
      <c r="Q9">
        <v>2244927551</v>
      </c>
      <c r="R9">
        <v>1036721232</v>
      </c>
      <c r="S9">
        <v>29890930</v>
      </c>
      <c r="T9">
        <v>1575663478</v>
      </c>
      <c r="U9">
        <v>1195881716</v>
      </c>
      <c r="V9">
        <v>32017052</v>
      </c>
      <c r="W9">
        <v>1316892468</v>
      </c>
      <c r="X9">
        <v>701356515</v>
      </c>
      <c r="Y9">
        <v>24777649</v>
      </c>
      <c r="Z9">
        <f t="shared" si="0"/>
        <v>2043026632</v>
      </c>
      <c r="AA9">
        <f t="shared" si="1"/>
        <v>2803562246</v>
      </c>
      <c r="AB9">
        <f t="shared" si="2"/>
        <v>3311539713</v>
      </c>
      <c r="AC9">
        <f t="shared" si="3"/>
        <v>396304571</v>
      </c>
      <c r="AD9">
        <f t="shared" si="4"/>
        <v>461805073</v>
      </c>
      <c r="AE9">
        <f t="shared" si="5"/>
        <v>921606378</v>
      </c>
    </row>
    <row r="10" spans="1:31" x14ac:dyDescent="0.4">
      <c r="A10" s="1" t="s">
        <v>116</v>
      </c>
      <c r="B10">
        <v>29271765</v>
      </c>
      <c r="C10">
        <v>143187034</v>
      </c>
      <c r="D10">
        <v>2907785</v>
      </c>
      <c r="E10">
        <v>0</v>
      </c>
      <c r="F10">
        <v>808259596</v>
      </c>
      <c r="G10">
        <v>10912400</v>
      </c>
      <c r="H10">
        <v>58717915</v>
      </c>
      <c r="I10">
        <v>1609934</v>
      </c>
      <c r="J10">
        <v>0</v>
      </c>
      <c r="K10">
        <v>196961986</v>
      </c>
      <c r="L10">
        <v>11279465</v>
      </c>
      <c r="M10">
        <v>2218400</v>
      </c>
      <c r="N10">
        <v>0</v>
      </c>
      <c r="O10">
        <v>0</v>
      </c>
      <c r="P10">
        <v>20191987</v>
      </c>
      <c r="Q10">
        <v>256274260</v>
      </c>
      <c r="R10">
        <v>526810598</v>
      </c>
      <c r="S10">
        <v>1271070</v>
      </c>
      <c r="T10">
        <v>249488618</v>
      </c>
      <c r="U10">
        <v>202135308</v>
      </c>
      <c r="V10">
        <v>292167</v>
      </c>
      <c r="W10">
        <v>175378257</v>
      </c>
      <c r="X10">
        <v>193278798</v>
      </c>
      <c r="Y10">
        <v>256116</v>
      </c>
      <c r="Z10">
        <f t="shared" si="0"/>
        <v>368913171</v>
      </c>
      <c r="AA10">
        <f t="shared" si="1"/>
        <v>451916093</v>
      </c>
      <c r="AB10">
        <f t="shared" si="2"/>
        <v>784355928</v>
      </c>
      <c r="AC10">
        <f t="shared" si="3"/>
        <v>33689852</v>
      </c>
      <c r="AD10">
        <f t="shared" si="4"/>
        <v>268202235</v>
      </c>
      <c r="AE10">
        <f t="shared" si="5"/>
        <v>983626180</v>
      </c>
    </row>
    <row r="11" spans="1:31" x14ac:dyDescent="0.4">
      <c r="A11" s="1" t="s">
        <v>117</v>
      </c>
      <c r="B11">
        <v>104709673</v>
      </c>
      <c r="C11">
        <v>34653626</v>
      </c>
      <c r="D11">
        <v>0</v>
      </c>
      <c r="E11">
        <v>0</v>
      </c>
      <c r="F11">
        <v>5175023</v>
      </c>
      <c r="G11">
        <v>102063587</v>
      </c>
      <c r="H11">
        <v>90244980</v>
      </c>
      <c r="I11">
        <v>0</v>
      </c>
      <c r="J11">
        <v>0</v>
      </c>
      <c r="K11">
        <v>50204938</v>
      </c>
      <c r="L11">
        <v>64127625</v>
      </c>
      <c r="M11">
        <v>52083144</v>
      </c>
      <c r="N11">
        <v>1250000</v>
      </c>
      <c r="O11">
        <v>0</v>
      </c>
      <c r="P11">
        <v>44522568</v>
      </c>
      <c r="Q11">
        <v>1346277937</v>
      </c>
      <c r="R11">
        <v>336276063</v>
      </c>
      <c r="S11">
        <v>1134096</v>
      </c>
      <c r="T11">
        <v>1132043313</v>
      </c>
      <c r="U11">
        <v>389765365</v>
      </c>
      <c r="V11">
        <v>846724</v>
      </c>
      <c r="W11">
        <v>1098033571</v>
      </c>
      <c r="X11">
        <v>409227504</v>
      </c>
      <c r="Y11">
        <v>2044770</v>
      </c>
      <c r="Z11">
        <f t="shared" si="0"/>
        <v>1509305845</v>
      </c>
      <c r="AA11">
        <f t="shared" si="1"/>
        <v>1522655402</v>
      </c>
      <c r="AB11">
        <f t="shared" si="2"/>
        <v>1683688096</v>
      </c>
      <c r="AC11">
        <f t="shared" si="3"/>
        <v>161983337</v>
      </c>
      <c r="AD11">
        <f t="shared" si="4"/>
        <v>242513505</v>
      </c>
      <c r="AE11">
        <f t="shared" si="5"/>
        <v>144538322</v>
      </c>
    </row>
    <row r="12" spans="1:31" x14ac:dyDescent="0.4">
      <c r="A12" s="1" t="s">
        <v>118</v>
      </c>
      <c r="B12">
        <v>6150182</v>
      </c>
      <c r="C12">
        <v>7197733</v>
      </c>
      <c r="D12">
        <v>20453287</v>
      </c>
      <c r="E12">
        <v>0</v>
      </c>
      <c r="F12">
        <v>2444722</v>
      </c>
      <c r="G12">
        <v>0</v>
      </c>
      <c r="H12">
        <v>10012458</v>
      </c>
      <c r="I12">
        <v>2287014</v>
      </c>
      <c r="J12">
        <v>0</v>
      </c>
      <c r="K12">
        <v>2585169</v>
      </c>
      <c r="L12">
        <v>355205</v>
      </c>
      <c r="M12">
        <v>3228743</v>
      </c>
      <c r="N12">
        <v>3139626</v>
      </c>
      <c r="O12">
        <v>0</v>
      </c>
      <c r="P12">
        <v>6370189</v>
      </c>
      <c r="Q12">
        <v>180662416</v>
      </c>
      <c r="R12">
        <v>202994209</v>
      </c>
      <c r="S12">
        <v>2672658</v>
      </c>
      <c r="T12">
        <v>176203803</v>
      </c>
      <c r="U12">
        <v>167017993</v>
      </c>
      <c r="V12">
        <v>277155</v>
      </c>
      <c r="W12">
        <v>154089828</v>
      </c>
      <c r="X12">
        <v>83816566</v>
      </c>
      <c r="Y12">
        <v>480986</v>
      </c>
      <c r="Z12">
        <f t="shared" si="0"/>
        <v>238387380</v>
      </c>
      <c r="AA12">
        <f t="shared" si="1"/>
        <v>343498951</v>
      </c>
      <c r="AB12">
        <f t="shared" si="2"/>
        <v>386329283</v>
      </c>
      <c r="AC12">
        <f t="shared" si="3"/>
        <v>13093763</v>
      </c>
      <c r="AD12">
        <f t="shared" si="4"/>
        <v>14884641</v>
      </c>
      <c r="AE12">
        <f t="shared" si="5"/>
        <v>36245924</v>
      </c>
    </row>
    <row r="13" spans="1:31" x14ac:dyDescent="0.4">
      <c r="A13" s="1" t="s">
        <v>119</v>
      </c>
      <c r="B13">
        <v>52657284</v>
      </c>
      <c r="C13">
        <v>80737711</v>
      </c>
      <c r="D13">
        <v>8776791</v>
      </c>
      <c r="E13">
        <v>838000</v>
      </c>
      <c r="F13">
        <v>8851792</v>
      </c>
      <c r="G13">
        <v>14428468</v>
      </c>
      <c r="H13">
        <v>102803753</v>
      </c>
      <c r="I13">
        <v>145265</v>
      </c>
      <c r="J13">
        <v>0</v>
      </c>
      <c r="K13">
        <v>6643661</v>
      </c>
      <c r="L13">
        <v>22499446</v>
      </c>
      <c r="M13">
        <v>70237516</v>
      </c>
      <c r="N13">
        <v>63728</v>
      </c>
      <c r="O13">
        <v>0</v>
      </c>
      <c r="P13">
        <v>11049227</v>
      </c>
      <c r="Q13">
        <v>616240748</v>
      </c>
      <c r="R13">
        <v>433089347</v>
      </c>
      <c r="S13">
        <v>2202405</v>
      </c>
      <c r="T13">
        <v>556319830</v>
      </c>
      <c r="U13">
        <v>402463608</v>
      </c>
      <c r="V13">
        <v>1422711</v>
      </c>
      <c r="W13">
        <v>545408742</v>
      </c>
      <c r="X13">
        <v>408350335</v>
      </c>
      <c r="Y13">
        <v>1388776</v>
      </c>
      <c r="Z13">
        <f t="shared" si="0"/>
        <v>955147853</v>
      </c>
      <c r="AA13">
        <f t="shared" si="1"/>
        <v>960206149</v>
      </c>
      <c r="AB13">
        <f t="shared" si="2"/>
        <v>1051532500</v>
      </c>
      <c r="AC13">
        <f t="shared" si="3"/>
        <v>103849917</v>
      </c>
      <c r="AD13">
        <f t="shared" si="4"/>
        <v>124021147</v>
      </c>
      <c r="AE13">
        <f t="shared" si="5"/>
        <v>151861578</v>
      </c>
    </row>
    <row r="14" spans="1:31" x14ac:dyDescent="0.4">
      <c r="A14" s="1" t="s">
        <v>120</v>
      </c>
      <c r="B14">
        <v>64619296</v>
      </c>
      <c r="C14">
        <v>37165334</v>
      </c>
      <c r="D14">
        <v>7808673</v>
      </c>
      <c r="E14">
        <v>0</v>
      </c>
      <c r="F14">
        <v>117932029</v>
      </c>
      <c r="G14">
        <v>26960364</v>
      </c>
      <c r="H14">
        <v>40039505</v>
      </c>
      <c r="I14">
        <v>15642801</v>
      </c>
      <c r="J14">
        <v>0</v>
      </c>
      <c r="K14">
        <v>205437744</v>
      </c>
      <c r="L14">
        <v>16159011</v>
      </c>
      <c r="M14">
        <v>32702870</v>
      </c>
      <c r="N14">
        <v>10276185</v>
      </c>
      <c r="O14">
        <v>0</v>
      </c>
      <c r="P14">
        <v>116807266</v>
      </c>
      <c r="Q14">
        <v>892977412</v>
      </c>
      <c r="R14">
        <v>470807984</v>
      </c>
      <c r="S14">
        <v>16800642</v>
      </c>
      <c r="T14">
        <v>740051982</v>
      </c>
      <c r="U14">
        <v>325776674</v>
      </c>
      <c r="V14">
        <v>6575955</v>
      </c>
      <c r="W14">
        <v>654305850</v>
      </c>
      <c r="X14">
        <v>270257352</v>
      </c>
      <c r="Y14">
        <v>2872735</v>
      </c>
      <c r="Z14">
        <f t="shared" si="0"/>
        <v>927435937</v>
      </c>
      <c r="AA14">
        <f t="shared" si="1"/>
        <v>1072404611</v>
      </c>
      <c r="AB14">
        <f t="shared" si="2"/>
        <v>1380586038</v>
      </c>
      <c r="AC14">
        <f t="shared" si="3"/>
        <v>175945332</v>
      </c>
      <c r="AD14">
        <f t="shared" si="4"/>
        <v>288080414</v>
      </c>
      <c r="AE14">
        <f t="shared" si="5"/>
        <v>227525332</v>
      </c>
    </row>
    <row r="15" spans="1:31" x14ac:dyDescent="0.4">
      <c r="A15" s="1" t="s">
        <v>121</v>
      </c>
      <c r="B15">
        <v>34026000</v>
      </c>
      <c r="C15">
        <v>22806000</v>
      </c>
      <c r="D15">
        <v>20127000</v>
      </c>
      <c r="E15">
        <v>0</v>
      </c>
      <c r="F15">
        <v>96807000</v>
      </c>
      <c r="G15">
        <v>36730573</v>
      </c>
      <c r="H15">
        <v>21739204</v>
      </c>
      <c r="I15">
        <v>30369437</v>
      </c>
      <c r="J15">
        <v>0</v>
      </c>
      <c r="K15">
        <v>128420884</v>
      </c>
      <c r="L15">
        <v>30389473</v>
      </c>
      <c r="M15">
        <v>144113742</v>
      </c>
      <c r="N15">
        <v>57134465</v>
      </c>
      <c r="O15">
        <v>0</v>
      </c>
      <c r="P15">
        <v>2307912</v>
      </c>
      <c r="Q15">
        <v>1048784000</v>
      </c>
      <c r="R15">
        <v>358315000</v>
      </c>
      <c r="S15">
        <v>14524000</v>
      </c>
      <c r="T15">
        <v>1035470000</v>
      </c>
      <c r="U15">
        <v>382870000</v>
      </c>
      <c r="V15">
        <v>19994914</v>
      </c>
      <c r="W15">
        <v>990442000</v>
      </c>
      <c r="X15">
        <v>386617000</v>
      </c>
      <c r="Y15">
        <v>3845000</v>
      </c>
      <c r="Z15">
        <f t="shared" si="0"/>
        <v>1380904000</v>
      </c>
      <c r="AA15">
        <f t="shared" si="1"/>
        <v>1438334914</v>
      </c>
      <c r="AB15">
        <f t="shared" si="2"/>
        <v>1421623000</v>
      </c>
      <c r="AC15">
        <f t="shared" si="3"/>
        <v>233945592</v>
      </c>
      <c r="AD15">
        <f t="shared" si="4"/>
        <v>217260098</v>
      </c>
      <c r="AE15">
        <f t="shared" si="5"/>
        <v>173766000</v>
      </c>
    </row>
    <row r="16" spans="1:31" x14ac:dyDescent="0.4">
      <c r="A16" s="1" t="s">
        <v>122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f t="shared" si="0"/>
        <v>0</v>
      </c>
      <c r="AA16">
        <f t="shared" si="1"/>
        <v>0</v>
      </c>
      <c r="AB16">
        <f t="shared" si="2"/>
        <v>0</v>
      </c>
      <c r="AC16">
        <f t="shared" si="3"/>
        <v>0</v>
      </c>
      <c r="AD16">
        <f t="shared" si="4"/>
        <v>0</v>
      </c>
      <c r="AE16">
        <f t="shared" si="5"/>
        <v>0</v>
      </c>
    </row>
    <row r="17" spans="1:31" x14ac:dyDescent="0.4">
      <c r="A17" s="1" t="s">
        <v>123</v>
      </c>
      <c r="B17">
        <v>24124587</v>
      </c>
      <c r="C17">
        <v>39496932</v>
      </c>
      <c r="D17">
        <v>3470187</v>
      </c>
      <c r="E17">
        <v>0</v>
      </c>
      <c r="F17">
        <v>99441194</v>
      </c>
      <c r="G17">
        <v>16861743</v>
      </c>
      <c r="H17">
        <v>142778633</v>
      </c>
      <c r="I17">
        <v>99515262</v>
      </c>
      <c r="J17">
        <v>0</v>
      </c>
      <c r="K17">
        <v>81677607</v>
      </c>
      <c r="L17">
        <v>14376948</v>
      </c>
      <c r="M17">
        <v>132653331</v>
      </c>
      <c r="N17">
        <v>4094541</v>
      </c>
      <c r="O17">
        <v>0</v>
      </c>
      <c r="P17">
        <v>30480857</v>
      </c>
      <c r="Q17">
        <v>292798170</v>
      </c>
      <c r="R17">
        <v>73692129</v>
      </c>
      <c r="S17">
        <v>7729632</v>
      </c>
      <c r="T17">
        <v>217245251</v>
      </c>
      <c r="U17">
        <v>59528568</v>
      </c>
      <c r="V17">
        <v>2642184</v>
      </c>
      <c r="W17">
        <v>217748440</v>
      </c>
      <c r="X17">
        <v>45566401</v>
      </c>
      <c r="Y17">
        <v>56500</v>
      </c>
      <c r="Z17">
        <f t="shared" si="0"/>
        <v>263371341</v>
      </c>
      <c r="AA17">
        <f t="shared" si="1"/>
        <v>279416003</v>
      </c>
      <c r="AB17">
        <f t="shared" si="2"/>
        <v>374219931</v>
      </c>
      <c r="AC17">
        <f t="shared" si="3"/>
        <v>181605677</v>
      </c>
      <c r="AD17">
        <f t="shared" si="4"/>
        <v>340833245</v>
      </c>
      <c r="AE17">
        <f t="shared" si="5"/>
        <v>166532900</v>
      </c>
    </row>
    <row r="18" spans="1:31" x14ac:dyDescent="0.4">
      <c r="A18" s="1" t="s">
        <v>124</v>
      </c>
      <c r="B18">
        <v>3379798</v>
      </c>
      <c r="C18">
        <v>44674740</v>
      </c>
      <c r="D18">
        <v>25401272</v>
      </c>
      <c r="E18">
        <v>0</v>
      </c>
      <c r="F18">
        <v>41775509</v>
      </c>
      <c r="G18">
        <v>1113893</v>
      </c>
      <c r="H18">
        <v>19013733</v>
      </c>
      <c r="I18">
        <v>22145315</v>
      </c>
      <c r="J18">
        <v>0</v>
      </c>
      <c r="K18">
        <v>83566902</v>
      </c>
      <c r="L18">
        <v>15724235</v>
      </c>
      <c r="M18">
        <v>28254698</v>
      </c>
      <c r="N18">
        <v>6285972</v>
      </c>
      <c r="O18">
        <v>0</v>
      </c>
      <c r="P18">
        <v>1837541</v>
      </c>
      <c r="Q18">
        <v>128551647</v>
      </c>
      <c r="R18">
        <v>147501531</v>
      </c>
      <c r="S18">
        <v>8503584</v>
      </c>
      <c r="T18">
        <v>105437616</v>
      </c>
      <c r="U18">
        <v>100763863</v>
      </c>
      <c r="V18">
        <v>3911645</v>
      </c>
      <c r="W18">
        <v>81960191</v>
      </c>
      <c r="X18">
        <v>61191591</v>
      </c>
      <c r="Y18">
        <v>2380341</v>
      </c>
      <c r="Z18">
        <f t="shared" si="0"/>
        <v>145532123</v>
      </c>
      <c r="AA18">
        <f t="shared" si="1"/>
        <v>210113124</v>
      </c>
      <c r="AB18">
        <f t="shared" si="2"/>
        <v>284556762</v>
      </c>
      <c r="AC18">
        <f t="shared" si="3"/>
        <v>52102446</v>
      </c>
      <c r="AD18">
        <f t="shared" si="4"/>
        <v>125839843</v>
      </c>
      <c r="AE18">
        <f t="shared" si="5"/>
        <v>115231319</v>
      </c>
    </row>
    <row r="19" spans="1:31" x14ac:dyDescent="0.4">
      <c r="A19" s="1" t="s">
        <v>125</v>
      </c>
      <c r="B19">
        <v>713500</v>
      </c>
      <c r="C19">
        <v>24636968</v>
      </c>
      <c r="D19">
        <v>1950665</v>
      </c>
      <c r="E19">
        <v>0</v>
      </c>
      <c r="F19">
        <v>278620267</v>
      </c>
      <c r="G19">
        <v>371980</v>
      </c>
      <c r="H19">
        <v>11876866</v>
      </c>
      <c r="I19">
        <v>2712375</v>
      </c>
      <c r="J19">
        <v>0</v>
      </c>
      <c r="K19">
        <v>18522411</v>
      </c>
      <c r="L19">
        <v>2351962</v>
      </c>
      <c r="M19">
        <v>243558602</v>
      </c>
      <c r="N19">
        <v>3820586</v>
      </c>
      <c r="O19">
        <v>0</v>
      </c>
      <c r="P19">
        <v>12914298</v>
      </c>
      <c r="Q19">
        <v>117888587</v>
      </c>
      <c r="R19">
        <v>178302688</v>
      </c>
      <c r="S19">
        <v>2311349</v>
      </c>
      <c r="T19">
        <v>90926484</v>
      </c>
      <c r="U19">
        <v>172245369</v>
      </c>
      <c r="V19">
        <v>2712077</v>
      </c>
      <c r="W19">
        <v>90039693</v>
      </c>
      <c r="X19">
        <v>89244884</v>
      </c>
      <c r="Y19">
        <v>1902515</v>
      </c>
      <c r="Z19">
        <f t="shared" si="0"/>
        <v>181187092</v>
      </c>
      <c r="AA19">
        <f t="shared" si="1"/>
        <v>265883930</v>
      </c>
      <c r="AB19">
        <f t="shared" si="2"/>
        <v>298502624</v>
      </c>
      <c r="AC19">
        <f t="shared" si="3"/>
        <v>262645448</v>
      </c>
      <c r="AD19">
        <f t="shared" si="4"/>
        <v>33483632</v>
      </c>
      <c r="AE19">
        <f t="shared" si="5"/>
        <v>305921400</v>
      </c>
    </row>
    <row r="20" spans="1:31" x14ac:dyDescent="0.4">
      <c r="A20" s="1" t="s">
        <v>126</v>
      </c>
      <c r="B20">
        <v>19043160</v>
      </c>
      <c r="C20">
        <v>38361122</v>
      </c>
      <c r="D20">
        <v>0</v>
      </c>
      <c r="E20">
        <v>0</v>
      </c>
      <c r="F20">
        <v>48214940</v>
      </c>
      <c r="G20">
        <v>25380636</v>
      </c>
      <c r="H20">
        <v>7611992</v>
      </c>
      <c r="I20">
        <v>159680</v>
      </c>
      <c r="J20">
        <v>0</v>
      </c>
      <c r="K20">
        <v>18966527</v>
      </c>
      <c r="L20">
        <v>86769210</v>
      </c>
      <c r="M20">
        <v>16737706</v>
      </c>
      <c r="N20">
        <v>695090</v>
      </c>
      <c r="O20">
        <v>0</v>
      </c>
      <c r="P20">
        <v>16151220</v>
      </c>
      <c r="Q20">
        <v>726962202</v>
      </c>
      <c r="R20">
        <v>416862252</v>
      </c>
      <c r="S20">
        <v>10405353</v>
      </c>
      <c r="T20">
        <v>716610620</v>
      </c>
      <c r="U20">
        <v>412452878</v>
      </c>
      <c r="V20">
        <v>11620926</v>
      </c>
      <c r="W20">
        <v>625005056</v>
      </c>
      <c r="X20">
        <v>287604438</v>
      </c>
      <c r="Y20">
        <v>27499926</v>
      </c>
      <c r="Z20">
        <f t="shared" si="0"/>
        <v>940109420</v>
      </c>
      <c r="AA20">
        <f t="shared" si="1"/>
        <v>1140684424</v>
      </c>
      <c r="AB20">
        <f t="shared" si="2"/>
        <v>1154229807</v>
      </c>
      <c r="AC20">
        <f t="shared" si="3"/>
        <v>120353226</v>
      </c>
      <c r="AD20">
        <f t="shared" si="4"/>
        <v>52118835</v>
      </c>
      <c r="AE20">
        <f t="shared" si="5"/>
        <v>105619222</v>
      </c>
    </row>
    <row r="21" spans="1:31" x14ac:dyDescent="0.4">
      <c r="A21" s="1" t="s">
        <v>127</v>
      </c>
      <c r="B21">
        <v>11629684</v>
      </c>
      <c r="C21">
        <v>91303913</v>
      </c>
      <c r="D21">
        <v>724231</v>
      </c>
      <c r="E21">
        <v>0</v>
      </c>
      <c r="F21">
        <v>20106750</v>
      </c>
      <c r="G21">
        <v>2651004</v>
      </c>
      <c r="H21">
        <v>138214986</v>
      </c>
      <c r="I21">
        <v>248738</v>
      </c>
      <c r="J21">
        <v>0</v>
      </c>
      <c r="K21">
        <v>63043503</v>
      </c>
      <c r="L21">
        <v>1664511</v>
      </c>
      <c r="M21">
        <v>112499794</v>
      </c>
      <c r="N21">
        <v>3736238</v>
      </c>
      <c r="O21">
        <v>0</v>
      </c>
      <c r="P21">
        <v>53045079</v>
      </c>
      <c r="Q21">
        <v>201817285</v>
      </c>
      <c r="R21">
        <v>109306681</v>
      </c>
      <c r="S21">
        <v>4724245</v>
      </c>
      <c r="T21">
        <v>188350956</v>
      </c>
      <c r="U21">
        <v>89330583</v>
      </c>
      <c r="V21">
        <v>5715969</v>
      </c>
      <c r="W21">
        <v>133034833</v>
      </c>
      <c r="X21">
        <v>69557543</v>
      </c>
      <c r="Y21">
        <v>1187275</v>
      </c>
      <c r="Z21">
        <f t="shared" si="0"/>
        <v>203779651</v>
      </c>
      <c r="AA21">
        <f t="shared" si="1"/>
        <v>283397508</v>
      </c>
      <c r="AB21">
        <f t="shared" si="2"/>
        <v>315848211</v>
      </c>
      <c r="AC21">
        <f t="shared" si="3"/>
        <v>170945622</v>
      </c>
      <c r="AD21">
        <f t="shared" si="4"/>
        <v>204158231</v>
      </c>
      <c r="AE21">
        <f t="shared" si="5"/>
        <v>123764578</v>
      </c>
    </row>
    <row r="22" spans="1:31" x14ac:dyDescent="0.4">
      <c r="A22" s="1" t="s">
        <v>128</v>
      </c>
      <c r="B22">
        <v>18776749</v>
      </c>
      <c r="C22">
        <v>31602388</v>
      </c>
      <c r="D22">
        <v>3430394</v>
      </c>
      <c r="E22">
        <v>0</v>
      </c>
      <c r="F22">
        <v>54899237</v>
      </c>
      <c r="G22">
        <v>17165385</v>
      </c>
      <c r="H22">
        <v>33890450</v>
      </c>
      <c r="I22">
        <v>1037925</v>
      </c>
      <c r="J22">
        <v>2478</v>
      </c>
      <c r="K22">
        <v>52906875</v>
      </c>
      <c r="L22">
        <v>16999181</v>
      </c>
      <c r="M22">
        <v>34407590</v>
      </c>
      <c r="N22">
        <v>1774500</v>
      </c>
      <c r="O22">
        <v>0</v>
      </c>
      <c r="P22">
        <v>104276120</v>
      </c>
      <c r="Q22">
        <v>821355595</v>
      </c>
      <c r="R22">
        <v>425473688</v>
      </c>
      <c r="S22">
        <v>7237917</v>
      </c>
      <c r="T22">
        <v>730215651</v>
      </c>
      <c r="U22">
        <v>386633508</v>
      </c>
      <c r="V22">
        <v>4783808</v>
      </c>
      <c r="W22">
        <v>627962879</v>
      </c>
      <c r="X22">
        <v>353600708</v>
      </c>
      <c r="Y22">
        <v>1027492</v>
      </c>
      <c r="Z22">
        <f t="shared" si="0"/>
        <v>982591079</v>
      </c>
      <c r="AA22">
        <f t="shared" si="1"/>
        <v>1121632967</v>
      </c>
      <c r="AB22">
        <f t="shared" si="2"/>
        <v>1254067200</v>
      </c>
      <c r="AC22">
        <f t="shared" si="3"/>
        <v>157457391</v>
      </c>
      <c r="AD22">
        <f t="shared" si="4"/>
        <v>105003113</v>
      </c>
      <c r="AE22">
        <f t="shared" si="5"/>
        <v>108708768</v>
      </c>
    </row>
    <row r="23" spans="1:31" x14ac:dyDescent="0.4">
      <c r="A23" s="1" t="s">
        <v>129</v>
      </c>
      <c r="B23">
        <v>72063052</v>
      </c>
      <c r="C23">
        <v>81511869</v>
      </c>
      <c r="D23">
        <v>10033345</v>
      </c>
      <c r="E23">
        <v>3989200</v>
      </c>
      <c r="F23">
        <v>274366493</v>
      </c>
      <c r="G23">
        <v>42230406</v>
      </c>
      <c r="H23">
        <v>120611205</v>
      </c>
      <c r="I23">
        <v>2457429</v>
      </c>
      <c r="J23">
        <v>2785851</v>
      </c>
      <c r="K23">
        <v>97721003</v>
      </c>
      <c r="L23">
        <v>20758825</v>
      </c>
      <c r="M23">
        <v>109741407</v>
      </c>
      <c r="N23">
        <v>40950683</v>
      </c>
      <c r="O23">
        <v>471680</v>
      </c>
      <c r="P23">
        <v>19294798</v>
      </c>
      <c r="Q23">
        <v>1438307087</v>
      </c>
      <c r="R23">
        <v>1519387069</v>
      </c>
      <c r="S23">
        <v>37625961</v>
      </c>
      <c r="T23">
        <v>1220295150</v>
      </c>
      <c r="U23">
        <v>1293886009</v>
      </c>
      <c r="V23">
        <v>96117869</v>
      </c>
      <c r="W23">
        <v>1130293351</v>
      </c>
      <c r="X23">
        <v>1001070959</v>
      </c>
      <c r="Y23">
        <v>23973538</v>
      </c>
      <c r="Z23">
        <f t="shared" si="0"/>
        <v>2155337848</v>
      </c>
      <c r="AA23">
        <f t="shared" si="1"/>
        <v>2610299028</v>
      </c>
      <c r="AB23">
        <f t="shared" si="2"/>
        <v>2995320117</v>
      </c>
      <c r="AC23">
        <f t="shared" si="3"/>
        <v>191217393</v>
      </c>
      <c r="AD23">
        <f t="shared" si="4"/>
        <v>265805894</v>
      </c>
      <c r="AE23">
        <f t="shared" si="5"/>
        <v>441963959</v>
      </c>
    </row>
    <row r="24" spans="1:31" x14ac:dyDescent="0.4">
      <c r="A24" s="1" t="s">
        <v>130</v>
      </c>
      <c r="B24">
        <v>88560600</v>
      </c>
      <c r="C24">
        <v>77580942</v>
      </c>
      <c r="D24">
        <v>44365986</v>
      </c>
      <c r="E24">
        <v>0</v>
      </c>
      <c r="F24">
        <v>52186849</v>
      </c>
      <c r="G24">
        <v>84602832</v>
      </c>
      <c r="H24">
        <v>73671825</v>
      </c>
      <c r="I24">
        <v>33970290</v>
      </c>
      <c r="J24">
        <v>0</v>
      </c>
      <c r="K24">
        <v>48461935</v>
      </c>
      <c r="L24">
        <v>76142442</v>
      </c>
      <c r="M24">
        <v>69765676</v>
      </c>
      <c r="N24">
        <v>32419148</v>
      </c>
      <c r="O24">
        <v>0</v>
      </c>
      <c r="P24">
        <v>44063602</v>
      </c>
      <c r="Q24">
        <v>890373102</v>
      </c>
      <c r="R24">
        <v>521900561</v>
      </c>
      <c r="S24">
        <v>29587637</v>
      </c>
      <c r="T24">
        <v>807348905</v>
      </c>
      <c r="U24">
        <v>445997512</v>
      </c>
      <c r="V24">
        <v>27954134</v>
      </c>
      <c r="W24">
        <v>687260400</v>
      </c>
      <c r="X24">
        <v>420066763</v>
      </c>
      <c r="Y24">
        <v>17602092</v>
      </c>
      <c r="Z24">
        <f t="shared" si="0"/>
        <v>1124929255</v>
      </c>
      <c r="AA24">
        <f t="shared" si="1"/>
        <v>1281300551</v>
      </c>
      <c r="AB24">
        <f t="shared" si="2"/>
        <v>1441861300</v>
      </c>
      <c r="AC24">
        <f t="shared" si="3"/>
        <v>222390868</v>
      </c>
      <c r="AD24">
        <f t="shared" si="4"/>
        <v>240706882</v>
      </c>
      <c r="AE24">
        <f t="shared" si="5"/>
        <v>262694377</v>
      </c>
    </row>
    <row r="25" spans="1:31" x14ac:dyDescent="0.4">
      <c r="A25" s="1" t="s">
        <v>131</v>
      </c>
      <c r="B25">
        <v>25246509</v>
      </c>
      <c r="C25">
        <v>47231985</v>
      </c>
      <c r="D25">
        <v>6261517</v>
      </c>
      <c r="E25">
        <v>0</v>
      </c>
      <c r="F25">
        <v>139395946</v>
      </c>
      <c r="G25">
        <v>44416208</v>
      </c>
      <c r="H25">
        <v>88975857</v>
      </c>
      <c r="I25">
        <v>2235820</v>
      </c>
      <c r="J25">
        <v>30000000</v>
      </c>
      <c r="K25">
        <v>100939887</v>
      </c>
      <c r="L25">
        <v>26232277</v>
      </c>
      <c r="M25">
        <v>59205988</v>
      </c>
      <c r="N25">
        <v>7270980</v>
      </c>
      <c r="O25">
        <v>34000000</v>
      </c>
      <c r="P25">
        <v>286444629</v>
      </c>
      <c r="Q25">
        <v>895915850</v>
      </c>
      <c r="R25">
        <v>725389122</v>
      </c>
      <c r="S25">
        <v>25612560</v>
      </c>
      <c r="T25">
        <v>769914171</v>
      </c>
      <c r="U25">
        <v>594322906</v>
      </c>
      <c r="V25">
        <v>12665392</v>
      </c>
      <c r="W25">
        <v>634425953</v>
      </c>
      <c r="X25">
        <v>493608538</v>
      </c>
      <c r="Y25">
        <v>769899</v>
      </c>
      <c r="Z25">
        <f t="shared" si="0"/>
        <v>1128804390</v>
      </c>
      <c r="AA25">
        <f t="shared" si="1"/>
        <v>1376902469</v>
      </c>
      <c r="AB25">
        <f t="shared" si="2"/>
        <v>1646917532</v>
      </c>
      <c r="AC25">
        <f t="shared" si="3"/>
        <v>413153874</v>
      </c>
      <c r="AD25">
        <f t="shared" si="4"/>
        <v>266567772</v>
      </c>
      <c r="AE25">
        <f t="shared" si="5"/>
        <v>218135957</v>
      </c>
    </row>
    <row r="26" spans="1:31" x14ac:dyDescent="0.4">
      <c r="A26" s="1" t="s">
        <v>132</v>
      </c>
      <c r="B26">
        <v>62311577</v>
      </c>
      <c r="C26">
        <v>452001358</v>
      </c>
      <c r="D26">
        <v>57511059</v>
      </c>
      <c r="E26">
        <v>6858525</v>
      </c>
      <c r="F26">
        <v>1039789220</v>
      </c>
      <c r="G26">
        <v>60292768</v>
      </c>
      <c r="H26">
        <v>1078378262</v>
      </c>
      <c r="I26">
        <v>91327111</v>
      </c>
      <c r="J26">
        <v>7248536</v>
      </c>
      <c r="K26">
        <v>833963984</v>
      </c>
      <c r="L26">
        <v>56502054</v>
      </c>
      <c r="M26">
        <v>645588899</v>
      </c>
      <c r="N26">
        <v>17595230</v>
      </c>
      <c r="O26">
        <v>2724170</v>
      </c>
      <c r="P26">
        <v>603768043</v>
      </c>
      <c r="Q26">
        <v>1458058274</v>
      </c>
      <c r="R26">
        <v>1576328475</v>
      </c>
      <c r="S26">
        <v>8921600</v>
      </c>
      <c r="T26">
        <v>1341309464</v>
      </c>
      <c r="U26">
        <v>1364427696</v>
      </c>
      <c r="V26">
        <v>449654</v>
      </c>
      <c r="W26">
        <v>1219057190</v>
      </c>
      <c r="X26">
        <v>1391304458</v>
      </c>
      <c r="Y26">
        <v>3009463</v>
      </c>
      <c r="Z26">
        <f t="shared" si="0"/>
        <v>2613371111</v>
      </c>
      <c r="AA26">
        <f t="shared" si="1"/>
        <v>2706186814</v>
      </c>
      <c r="AB26">
        <f t="shared" si="2"/>
        <v>3043308349</v>
      </c>
      <c r="AC26">
        <f t="shared" si="3"/>
        <v>1326178396</v>
      </c>
      <c r="AD26">
        <f t="shared" si="4"/>
        <v>2071210661</v>
      </c>
      <c r="AE26">
        <f t="shared" si="5"/>
        <v>1618471739</v>
      </c>
    </row>
    <row r="27" spans="1:31" x14ac:dyDescent="0.4">
      <c r="A27" s="1" t="s">
        <v>133</v>
      </c>
      <c r="B27">
        <v>12851320</v>
      </c>
      <c r="C27">
        <v>11435715</v>
      </c>
      <c r="D27">
        <v>156533</v>
      </c>
      <c r="E27">
        <v>0</v>
      </c>
      <c r="F27">
        <v>9401622</v>
      </c>
      <c r="G27">
        <v>5636151</v>
      </c>
      <c r="H27">
        <v>11566843</v>
      </c>
      <c r="I27">
        <v>51532</v>
      </c>
      <c r="J27">
        <v>0</v>
      </c>
      <c r="K27">
        <v>23923849</v>
      </c>
      <c r="L27">
        <v>10377766</v>
      </c>
      <c r="M27">
        <v>1034822</v>
      </c>
      <c r="N27">
        <v>2123556</v>
      </c>
      <c r="O27">
        <v>0</v>
      </c>
      <c r="P27">
        <v>5144792</v>
      </c>
      <c r="Q27">
        <v>173347252</v>
      </c>
      <c r="R27">
        <v>3476137</v>
      </c>
      <c r="S27">
        <v>1450103</v>
      </c>
      <c r="T27">
        <v>183838765</v>
      </c>
      <c r="U27">
        <v>1521784</v>
      </c>
      <c r="V27">
        <v>1697147</v>
      </c>
      <c r="W27">
        <v>168051997</v>
      </c>
      <c r="X27">
        <v>1775860</v>
      </c>
      <c r="Y27">
        <v>745652</v>
      </c>
      <c r="Z27">
        <f t="shared" si="0"/>
        <v>170573509</v>
      </c>
      <c r="AA27">
        <f t="shared" si="1"/>
        <v>187057696</v>
      </c>
      <c r="AB27">
        <f t="shared" si="2"/>
        <v>178273492</v>
      </c>
      <c r="AC27">
        <f t="shared" si="3"/>
        <v>18680936</v>
      </c>
      <c r="AD27">
        <f t="shared" si="4"/>
        <v>41178375</v>
      </c>
      <c r="AE27">
        <f t="shared" si="5"/>
        <v>33845190</v>
      </c>
    </row>
    <row r="28" spans="1:31" x14ac:dyDescent="0.4">
      <c r="A28" s="1" t="s">
        <v>134</v>
      </c>
      <c r="B28">
        <v>61208287</v>
      </c>
      <c r="C28">
        <v>131846194</v>
      </c>
      <c r="D28">
        <v>12493884</v>
      </c>
      <c r="E28">
        <v>0</v>
      </c>
      <c r="F28">
        <v>72766807</v>
      </c>
      <c r="G28">
        <v>59099482</v>
      </c>
      <c r="H28">
        <v>281512097</v>
      </c>
      <c r="I28">
        <v>16338135</v>
      </c>
      <c r="J28">
        <v>0</v>
      </c>
      <c r="K28">
        <v>182281558</v>
      </c>
      <c r="L28">
        <v>55052090</v>
      </c>
      <c r="M28">
        <v>148347864</v>
      </c>
      <c r="N28">
        <v>16246719</v>
      </c>
      <c r="O28">
        <v>0</v>
      </c>
      <c r="P28">
        <v>53012681</v>
      </c>
      <c r="Q28">
        <v>1289147390</v>
      </c>
      <c r="R28">
        <v>1388646412</v>
      </c>
      <c r="S28">
        <v>76575245</v>
      </c>
      <c r="T28">
        <v>1214818000</v>
      </c>
      <c r="U28">
        <v>1181716694</v>
      </c>
      <c r="V28">
        <v>49386214</v>
      </c>
      <c r="W28">
        <v>1028599459</v>
      </c>
      <c r="X28">
        <v>871437903</v>
      </c>
      <c r="Y28">
        <v>29020967</v>
      </c>
      <c r="Z28">
        <f t="shared" si="0"/>
        <v>1929058329</v>
      </c>
      <c r="AA28">
        <f t="shared" si="1"/>
        <v>2445920908</v>
      </c>
      <c r="AB28">
        <f t="shared" si="2"/>
        <v>2754369047</v>
      </c>
      <c r="AC28">
        <f t="shared" si="3"/>
        <v>272659354</v>
      </c>
      <c r="AD28">
        <f t="shared" si="4"/>
        <v>539231272</v>
      </c>
      <c r="AE28">
        <f t="shared" si="5"/>
        <v>278315172</v>
      </c>
    </row>
    <row r="29" spans="1:31" x14ac:dyDescent="0.4">
      <c r="A29" s="1" t="s">
        <v>135</v>
      </c>
      <c r="B29">
        <v>55696364</v>
      </c>
      <c r="C29">
        <v>100219284</v>
      </c>
      <c r="D29">
        <v>1401969</v>
      </c>
      <c r="E29">
        <v>0</v>
      </c>
      <c r="F29">
        <v>382997473</v>
      </c>
      <c r="G29">
        <v>63342666</v>
      </c>
      <c r="H29">
        <v>137213329</v>
      </c>
      <c r="I29">
        <v>25904832</v>
      </c>
      <c r="J29">
        <v>0</v>
      </c>
      <c r="K29">
        <v>113666784</v>
      </c>
      <c r="L29">
        <v>32208869</v>
      </c>
      <c r="M29">
        <v>61669792</v>
      </c>
      <c r="N29">
        <v>4631191</v>
      </c>
      <c r="O29">
        <v>0</v>
      </c>
      <c r="P29">
        <v>81933275</v>
      </c>
      <c r="Q29">
        <v>1025370217</v>
      </c>
      <c r="R29">
        <v>616922275</v>
      </c>
      <c r="S29">
        <v>8116174</v>
      </c>
      <c r="T29">
        <v>871689788</v>
      </c>
      <c r="U29">
        <v>611739957</v>
      </c>
      <c r="V29">
        <v>7190579</v>
      </c>
      <c r="W29">
        <v>807976584</v>
      </c>
      <c r="X29">
        <v>585730455</v>
      </c>
      <c r="Y29">
        <v>8160475</v>
      </c>
      <c r="Z29">
        <f t="shared" si="0"/>
        <v>1401867514</v>
      </c>
      <c r="AA29">
        <f t="shared" si="1"/>
        <v>1490620324</v>
      </c>
      <c r="AB29">
        <f t="shared" si="2"/>
        <v>1650408666</v>
      </c>
      <c r="AC29">
        <f t="shared" si="3"/>
        <v>180443127</v>
      </c>
      <c r="AD29">
        <f t="shared" si="4"/>
        <v>340127611</v>
      </c>
      <c r="AE29">
        <f t="shared" si="5"/>
        <v>540315090</v>
      </c>
    </row>
    <row r="30" spans="1:31" x14ac:dyDescent="0.4">
      <c r="A30" s="1" t="s">
        <v>136</v>
      </c>
      <c r="B30">
        <v>20535132</v>
      </c>
      <c r="C30">
        <v>61888764</v>
      </c>
      <c r="D30">
        <v>282807</v>
      </c>
      <c r="E30">
        <v>181404</v>
      </c>
      <c r="F30">
        <v>187391115</v>
      </c>
      <c r="G30">
        <v>19088000</v>
      </c>
      <c r="H30">
        <v>56149000</v>
      </c>
      <c r="I30">
        <v>5243056</v>
      </c>
      <c r="J30">
        <v>618944</v>
      </c>
      <c r="K30">
        <v>247250000</v>
      </c>
      <c r="L30">
        <v>26194000</v>
      </c>
      <c r="M30">
        <v>79920000</v>
      </c>
      <c r="N30">
        <v>963000</v>
      </c>
      <c r="O30">
        <v>562676</v>
      </c>
      <c r="P30">
        <v>276775181</v>
      </c>
      <c r="Q30">
        <v>1637174251</v>
      </c>
      <c r="R30">
        <v>680256994</v>
      </c>
      <c r="S30">
        <v>29936503</v>
      </c>
      <c r="T30">
        <v>1306047000</v>
      </c>
      <c r="U30">
        <v>380737000</v>
      </c>
      <c r="V30">
        <v>31188000</v>
      </c>
      <c r="W30">
        <v>1134330000</v>
      </c>
      <c r="X30">
        <v>329607000</v>
      </c>
      <c r="Y30">
        <v>6019000</v>
      </c>
      <c r="Z30">
        <f t="shared" si="0"/>
        <v>1469956000</v>
      </c>
      <c r="AA30">
        <f t="shared" si="1"/>
        <v>1717972000</v>
      </c>
      <c r="AB30">
        <f t="shared" si="2"/>
        <v>2347367748</v>
      </c>
      <c r="AC30">
        <f t="shared" si="3"/>
        <v>384414857</v>
      </c>
      <c r="AD30">
        <f t="shared" si="4"/>
        <v>328349000</v>
      </c>
      <c r="AE30">
        <f t="shared" si="5"/>
        <v>270279222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BFBCDC-51FB-45EE-91CD-6AA478BED1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NIRF_Central_University_output</vt:lpstr>
      <vt:lpstr>NIRF_IIIT'S_output</vt:lpstr>
      <vt:lpstr>NIRF_IISER's_output</vt:lpstr>
      <vt:lpstr>NIRF_IIT'S_output</vt:lpstr>
      <vt:lpstr>NIRF_NIT'S_output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Bansal</dc:creator>
  <cp:lastModifiedBy>Saurabh Bansal</cp:lastModifiedBy>
  <dcterms:created xsi:type="dcterms:W3CDTF">2025-10-15T06:06:20Z</dcterms:created>
  <dcterms:modified xsi:type="dcterms:W3CDTF">2025-10-15T06:06:20Z</dcterms:modified>
</cp:coreProperties>
</file>